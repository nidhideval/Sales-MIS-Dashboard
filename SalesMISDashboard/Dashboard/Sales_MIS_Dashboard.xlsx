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SalesMISDashboard\Dashboard\"/>
    </mc:Choice>
  </mc:AlternateContent>
  <xr:revisionPtr revIDLastSave="0" documentId="8_{270A6CB1-30C4-45B6-882B-F2982AD9B9B6}" xr6:coauthVersionLast="47" xr6:coauthVersionMax="47" xr10:uidLastSave="{00000000-0000-0000-0000-000000000000}"/>
  <bookViews>
    <workbookView xWindow="11424" yWindow="0" windowWidth="11712" windowHeight="12336" activeTab="3" xr2:uid="{64464381-B54E-450D-A0DA-02605EF8DEC8}"/>
  </bookViews>
  <sheets>
    <sheet name="00_ReadMe" sheetId="1" r:id="rId1"/>
    <sheet name="01_Raw_Data_Sheet" sheetId="4" r:id="rId2"/>
    <sheet name="02_Target_Master" sheetId="16" r:id="rId3"/>
    <sheet name="03_Daily_MIS" sheetId="5" r:id="rId4"/>
    <sheet name="04_Region_MIS" sheetId="8" r:id="rId5"/>
    <sheet name="05_Category_MIS" sheetId="9" r:id="rId6"/>
    <sheet name="07_Monthly_MIS" sheetId="10" r:id="rId7"/>
    <sheet name="06_Exception_Report" sheetId="11" r:id="rId8"/>
    <sheet name="Dashboard_KPIs" sheetId="15" r:id="rId9"/>
  </sheets>
  <definedNames>
    <definedName name="_xlnm._FilterDatabase" localSheetId="7" hidden="1">'06_Exception_Report'!$A$3:$E$171</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5" l="1"/>
  <c r="B3" i="15"/>
  <c r="B2" i="15"/>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4" i="1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alcChain>
</file>

<file path=xl/sharedStrings.xml><?xml version="1.0" encoding="utf-8"?>
<sst xmlns="http://schemas.openxmlformats.org/spreadsheetml/2006/main" count="480" uniqueCount="111">
  <si>
    <t>This MIS dashboard tracks daily and monthly sales performance, compares targets vs achievements, and highlights exception cases to support management decision-making.</t>
  </si>
  <si>
    <t>Data Source</t>
  </si>
  <si>
    <t>Sample sales dataset created for demonstration of MIS logic. Structure scalable to large datasets.</t>
  </si>
  <si>
    <t>Refresh Instructions</t>
  </si>
  <si>
    <t>Update raw data → Refresh all pivots → Review exception report.</t>
  </si>
  <si>
    <t>Reports Included</t>
  </si>
  <si>
    <t>Daily Sales MIS</t>
  </si>
  <si>
    <t>Monthly Performance MIS</t>
  </si>
  <si>
    <t>Target vs Achievement</t>
  </si>
  <si>
    <t>Exception Reporting</t>
  </si>
  <si>
    <t>Date</t>
  </si>
  <si>
    <t>Order_ID</t>
  </si>
  <si>
    <t>Region</t>
  </si>
  <si>
    <t>City</t>
  </si>
  <si>
    <t>Category</t>
  </si>
  <si>
    <t>Sales</t>
  </si>
  <si>
    <t>Target</t>
  </si>
  <si>
    <t>North</t>
  </si>
  <si>
    <t>Delhi</t>
  </si>
  <si>
    <t>Grocery</t>
  </si>
  <si>
    <t>West</t>
  </si>
  <si>
    <t>Mumbai</t>
  </si>
  <si>
    <t>Food</t>
  </si>
  <si>
    <t>South</t>
  </si>
  <si>
    <t>Bangalore</t>
  </si>
  <si>
    <t>Electronics</t>
  </si>
  <si>
    <t>Kolkata</t>
  </si>
  <si>
    <t>East</t>
  </si>
  <si>
    <t>Row Labels</t>
  </si>
  <si>
    <t>Sum of Sales</t>
  </si>
  <si>
    <t>Sum of Target</t>
  </si>
  <si>
    <t>Month</t>
  </si>
  <si>
    <t>Feb-2025</t>
  </si>
  <si>
    <t>Jan-2025</t>
  </si>
  <si>
    <t>Mar-2025</t>
  </si>
  <si>
    <t>Months (Date)</t>
  </si>
  <si>
    <t>Days (Date)</t>
  </si>
  <si>
    <t>Jan</t>
  </si>
  <si>
    <t>02-Jan</t>
  </si>
  <si>
    <t>03-Jan</t>
  </si>
  <si>
    <t>04-Jan</t>
  </si>
  <si>
    <t>05-Jan</t>
  </si>
  <si>
    <t>06-Jan</t>
  </si>
  <si>
    <t>09-Jan</t>
  </si>
  <si>
    <t>10-Jan</t>
  </si>
  <si>
    <t>11-Jan</t>
  </si>
  <si>
    <t>12-Jan</t>
  </si>
  <si>
    <t>13-Jan</t>
  </si>
  <si>
    <t>14-Jan</t>
  </si>
  <si>
    <t>15-Jan</t>
  </si>
  <si>
    <t>17-Jan</t>
  </si>
  <si>
    <t>19-Jan</t>
  </si>
  <si>
    <t>22-Jan</t>
  </si>
  <si>
    <t>23-Jan</t>
  </si>
  <si>
    <t>24-Jan</t>
  </si>
  <si>
    <t>25-Jan</t>
  </si>
  <si>
    <t>26-Jan</t>
  </si>
  <si>
    <t>27-Jan</t>
  </si>
  <si>
    <t>28-Jan</t>
  </si>
  <si>
    <t>29-Jan</t>
  </si>
  <si>
    <t>Feb</t>
  </si>
  <si>
    <t>01-Feb</t>
  </si>
  <si>
    <t>03-Feb</t>
  </si>
  <si>
    <t>04-Feb</t>
  </si>
  <si>
    <t>05-Feb</t>
  </si>
  <si>
    <t>06-Feb</t>
  </si>
  <si>
    <t>07-Feb</t>
  </si>
  <si>
    <t>08-Feb</t>
  </si>
  <si>
    <t>09-Feb</t>
  </si>
  <si>
    <t>11-Feb</t>
  </si>
  <si>
    <t>12-Feb</t>
  </si>
  <si>
    <t>13-Feb</t>
  </si>
  <si>
    <t>16-Feb</t>
  </si>
  <si>
    <t>17-Feb</t>
  </si>
  <si>
    <t>20-Feb</t>
  </si>
  <si>
    <t>24-Feb</t>
  </si>
  <si>
    <t>26-Feb</t>
  </si>
  <si>
    <t>27-Feb</t>
  </si>
  <si>
    <t>Mar</t>
  </si>
  <si>
    <t>01-Mar</t>
  </si>
  <si>
    <t xml:space="preserve"> Achievement %</t>
  </si>
  <si>
    <t>Ach_Helper</t>
  </si>
  <si>
    <t>Achievement1 %</t>
  </si>
  <si>
    <t>Achievement 2%</t>
  </si>
  <si>
    <t>Achievement 3%</t>
  </si>
  <si>
    <t>Grand Total</t>
  </si>
  <si>
    <r>
      <t>Project Overview</t>
    </r>
    <r>
      <rPr>
        <b/>
        <sz val="16"/>
        <color theme="1"/>
        <rFont val="Calibri"/>
      </rPr>
      <t>      </t>
    </r>
  </si>
  <si>
    <t>Exception Flag</t>
  </si>
  <si>
    <t>KPI</t>
  </si>
  <si>
    <t>Value</t>
  </si>
  <si>
    <t>Total Sales</t>
  </si>
  <si>
    <t>Total Target</t>
  </si>
  <si>
    <t>Overall Achievement %</t>
  </si>
  <si>
    <t>High Risk Month</t>
  </si>
  <si>
    <t>March 2025 (83.5%)</t>
  </si>
  <si>
    <t>Business Insights</t>
  </si>
  <si>
    <t>Key KPIs Tracked</t>
  </si>
  <si>
    <r>
      <t>Sales</t>
    </r>
    <r>
      <rPr>
        <sz val="14"/>
        <color theme="1"/>
        <rFont val="Calibri"/>
        <family val="2"/>
        <scheme val="minor"/>
      </rPr>
      <t xml:space="preserve"> – Actual revenue achieved</t>
    </r>
  </si>
  <si>
    <r>
      <t>Target</t>
    </r>
    <r>
      <rPr>
        <sz val="14"/>
        <color theme="1"/>
        <rFont val="Calibri"/>
        <family val="2"/>
        <scheme val="minor"/>
      </rPr>
      <t xml:space="preserve"> – Planned revenue benchmark</t>
    </r>
  </si>
  <si>
    <r>
      <t>Achievement %</t>
    </r>
    <r>
      <rPr>
        <sz val="14"/>
        <color theme="1"/>
        <rFont val="Calibri"/>
        <family val="2"/>
        <scheme val="minor"/>
      </rPr>
      <t xml:space="preserve"> – Sales ÷ Target</t>
    </r>
  </si>
  <si>
    <r>
      <t>Variance</t>
    </r>
    <r>
      <rPr>
        <sz val="14"/>
        <color theme="1"/>
        <rFont val="Calibri"/>
        <family val="2"/>
        <scheme val="minor"/>
      </rPr>
      <t xml:space="preserve"> – Sales minus Target</t>
    </r>
  </si>
  <si>
    <t>Electronics category underperformed across the period with the lowest achievement (96.1%), indicating possible pricing or demand issues.</t>
  </si>
  <si>
    <t>March 2025 emerged as the high-risk month with only 83.5% target achievement, requiring immediate corrective action.</t>
  </si>
  <si>
    <t>North region consistently exceeded targets, making it a benchmark region for performance replication.</t>
  </si>
  <si>
    <t>Overall business achieved 97.3% of target, reflecting stable performance but scope for improvement in specific categories and months.</t>
  </si>
  <si>
    <t xml:space="preserve">Region </t>
  </si>
  <si>
    <t>Monthly Target</t>
  </si>
  <si>
    <t xml:space="preserve">East </t>
  </si>
  <si>
    <t xml:space="preserve"> Electronics</t>
  </si>
  <si>
    <t xml:space="preserve"> Food        </t>
  </si>
  <si>
    <t xml:space="preserve"> Grocery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</si>
</sst>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164" formatCode="0.0%"/>
    <numFmt numFmtId="165" formatCode="&quot;₹&quot;\ #,##0.0"/>
    <numFmt numFmtId="166" formatCode="&quot;₹&quot;\ #,##0"/>
  </numFmts>
  <fonts count="9" x14ac:knownFonts="1">
    <font>
      <sz val="11"/>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b/>
      <sz val="16"/>
      <color theme="1"/>
      <name val="Calibri"/>
    </font>
    <font>
      <sz val="12"/>
      <color theme="1"/>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vertical="center" wrapText="1"/>
    </xf>
    <xf numFmtId="0" fontId="1" fillId="0" borderId="0" xfId="0" applyFont="1"/>
    <xf numFmtId="0" fontId="3" fillId="0" borderId="0" xfId="0" applyFont="1"/>
    <xf numFmtId="0" fontId="2" fillId="0" borderId="0" xfId="0" applyFont="1"/>
    <xf numFmtId="0" fontId="1"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left"/>
    </xf>
    <xf numFmtId="0" fontId="0" fillId="0" borderId="0" xfId="0" applyAlignment="1">
      <alignment horizontal="center"/>
    </xf>
    <xf numFmtId="0" fontId="0" fillId="0" borderId="0" xfId="0" pivotButton="1"/>
    <xf numFmtId="0" fontId="0" fillId="0" borderId="0" xfId="0" pivotButton="1" applyAlignment="1">
      <alignment horizontal="center"/>
    </xf>
    <xf numFmtId="14" fontId="0" fillId="0" borderId="0" xfId="0" applyNumberFormat="1" applyAlignment="1">
      <alignment horizontal="center"/>
    </xf>
    <xf numFmtId="164" fontId="0" fillId="0" borderId="0" xfId="0" applyNumberFormat="1"/>
    <xf numFmtId="165" fontId="0" fillId="0" borderId="0" xfId="0" applyNumberFormat="1"/>
    <xf numFmtId="165" fontId="0" fillId="0" borderId="0" xfId="0" applyNumberFormat="1" applyAlignment="1">
      <alignment horizontal="center"/>
    </xf>
    <xf numFmtId="0" fontId="5" fillId="0" borderId="0" xfId="0" applyFont="1"/>
    <xf numFmtId="14"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xf>
    <xf numFmtId="0" fontId="6" fillId="0" borderId="0" xfId="0" applyFont="1"/>
    <xf numFmtId="0" fontId="6" fillId="4" borderId="1" xfId="0" applyFont="1" applyFill="1" applyBorder="1" applyAlignment="1">
      <alignment horizontal="center"/>
    </xf>
    <xf numFmtId="0" fontId="1" fillId="2" borderId="1" xfId="0" applyFont="1" applyFill="1" applyBorder="1"/>
    <xf numFmtId="5" fontId="1" fillId="3" borderId="1" xfId="0" applyNumberFormat="1" applyFont="1" applyFill="1" applyBorder="1" applyAlignment="1">
      <alignment horizontal="center"/>
    </xf>
    <xf numFmtId="166" fontId="1" fillId="3" borderId="1" xfId="0" applyNumberFormat="1" applyFont="1" applyFill="1" applyBorder="1" applyAlignment="1">
      <alignment horizontal="center"/>
    </xf>
    <xf numFmtId="164" fontId="1" fillId="3" borderId="1" xfId="0" applyNumberFormat="1" applyFont="1" applyFill="1" applyBorder="1" applyAlignment="1">
      <alignment horizontal="center"/>
    </xf>
    <xf numFmtId="0" fontId="1" fillId="3" borderId="1" xfId="0" applyFont="1" applyFill="1" applyBorder="1" applyAlignment="1">
      <alignment horizontal="center"/>
    </xf>
    <xf numFmtId="0" fontId="3" fillId="0" borderId="0" xfId="0" applyFont="1" applyAlignment="1">
      <alignment vertical="center"/>
    </xf>
    <xf numFmtId="0" fontId="7" fillId="0" borderId="0" xfId="0" applyFont="1" applyAlignment="1">
      <alignment horizontal="center"/>
    </xf>
    <xf numFmtId="0" fontId="0" fillId="0" borderId="0" xfId="0" applyAlignment="1">
      <alignment horizontal="center" vertical="center" wrapText="1"/>
    </xf>
    <xf numFmtId="0" fontId="8" fillId="0" borderId="0" xfId="0" applyFont="1" applyAlignment="1">
      <alignment horizontal="center"/>
    </xf>
  </cellXfs>
  <cellStyles count="1">
    <cellStyle name="Normal" xfId="0" builtinId="0"/>
  </cellStyles>
  <dxfs count="43">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numFmt numFmtId="165" formatCode="&quot;₹&quot;\ #,##0.0"/>
    </dxf>
    <dxf>
      <numFmt numFmtId="165" formatCode="&quot;₹&quot;\ #,##0.0"/>
    </dxf>
    <dxf>
      <font>
        <color rgb="FF9C0006"/>
      </font>
      <fill>
        <patternFill>
          <bgColor rgb="FFFFC7CE"/>
        </patternFill>
      </fill>
    </dxf>
    <dxf>
      <font>
        <color rgb="FF9C5700"/>
      </font>
      <fill>
        <patternFill>
          <bgColor rgb="FFFFEB9C"/>
        </patternFill>
      </fill>
    </dxf>
    <dxf>
      <numFmt numFmtId="165" formatCode="&quot;₹&quot;\ #,##0.0"/>
    </dxf>
    <dxf>
      <numFmt numFmtId="165" formatCode="&quot;₹&quot;\ #,##0.0"/>
    </dxf>
    <dxf>
      <numFmt numFmtId="165" formatCode="&quot;₹&quot;\ #,##0.0"/>
    </dxf>
    <dxf>
      <numFmt numFmtId="165" formatCode="&quot;₹&quot;\ #,##0.0"/>
    </dxf>
    <dxf>
      <font>
        <color rgb="FF9C5700"/>
      </font>
      <fill>
        <patternFill>
          <bgColor rgb="FFFFEB9C"/>
        </patternFill>
      </fill>
    </dxf>
    <dxf>
      <font>
        <color rgb="FF9C0006"/>
      </font>
      <fill>
        <patternFill>
          <bgColor rgb="FFFFC7CE"/>
        </patternFill>
      </fill>
    </dxf>
    <dxf>
      <numFmt numFmtId="165" formatCode="&quot;₹&quot;\ #,##0.0"/>
    </dxf>
    <dxf>
      <numFmt numFmtId="165" formatCode="&quot;₹&quot;\ #,##0.0"/>
    </dxf>
    <dxf>
      <numFmt numFmtId="165" formatCode="&quot;₹&quot;\ #,##0.0"/>
    </dxf>
    <dxf>
      <numFmt numFmtId="165" formatCode="&quot;₹&quot;\ #,##0.0"/>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5" formatCode="&quot;₹&quot;\ #,##0.0"/>
    </dxf>
    <dxf>
      <numFmt numFmtId="165" formatCode="&quot;₹&quot;\ #,##0.0"/>
    </dxf>
    <dxf>
      <alignment horizontal="center"/>
    </dxf>
    <dxf>
      <alignment horizontal="center"/>
    </dxf>
    <dxf>
      <alignment horizontal="center"/>
    </dxf>
    <dxf>
      <alignment horizontal="center"/>
    </dxf>
    <dxf>
      <alignment horizontal="center"/>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[Sales_MIS_Dashboard.xlsx]03_Daily_MIS!PivotTable1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Sales vs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'03_Daily_MIS'!$D$1</c:f>
              <c:strCache>
                <c:ptCount val="1"/>
                <c:pt idx="0">
                  <c:v>Sum of Sales</c:v>
                </c:pt>
              </c:strCache>
            </c:strRef>
          </c:tx>
          <c:spPr>
            <a:solidFill>
              <a:schemeClr val="accent1"/>
            </a:solidFill>
            <a:ln>
              <a:noFill/>
            </a:ln>
            <a:effectLst/>
          </c:spPr>
          <c:invertIfNegative val="0"/>
          <c:cat>
            <c:multiLvlStrRef>
              <c:f>'03_Daily_MIS'!$A$2:$C$41</c:f>
              <c:multiLvlStrCache>
                <c:ptCount val="40"/>
                <c:lvl>
                  <c:pt idx="0">
                    <c:v>02-01-2025</c:v>
                  </c:pt>
                  <c:pt idx="1">
                    <c:v>03-01-2025</c:v>
                  </c:pt>
                  <c:pt idx="2">
                    <c:v>04-01-2025</c:v>
                  </c:pt>
                  <c:pt idx="3">
                    <c:v>05-01-2025</c:v>
                  </c:pt>
                  <c:pt idx="4">
                    <c:v>06-01-2025</c:v>
                  </c:pt>
                  <c:pt idx="5">
                    <c:v>09-01-2025</c:v>
                  </c:pt>
                  <c:pt idx="6">
                    <c:v>10-01-2025</c:v>
                  </c:pt>
                  <c:pt idx="7">
                    <c:v>11-01-2025</c:v>
                  </c:pt>
                  <c:pt idx="8">
                    <c:v>12-01-2025</c:v>
                  </c:pt>
                  <c:pt idx="9">
                    <c:v>13-01-2025</c:v>
                  </c:pt>
                  <c:pt idx="10">
                    <c:v>14-01-2025</c:v>
                  </c:pt>
                  <c:pt idx="11">
                    <c:v>15-01-2025</c:v>
                  </c:pt>
                  <c:pt idx="12">
                    <c:v>17-01-2025</c:v>
                  </c:pt>
                  <c:pt idx="13">
                    <c:v>19-01-2025</c:v>
                  </c:pt>
                  <c:pt idx="14">
                    <c:v>22-01-2025</c:v>
                  </c:pt>
                  <c:pt idx="15">
                    <c:v>23-01-2025</c:v>
                  </c:pt>
                  <c:pt idx="16">
                    <c:v>24-01-2025</c:v>
                  </c:pt>
                  <c:pt idx="17">
                    <c:v>25-01-2025</c:v>
                  </c:pt>
                  <c:pt idx="18">
                    <c:v>26-01-2025</c:v>
                  </c:pt>
                  <c:pt idx="19">
                    <c:v>27-01-2025</c:v>
                  </c:pt>
                  <c:pt idx="20">
                    <c:v>28-01-2025</c:v>
                  </c:pt>
                  <c:pt idx="21">
                    <c:v>29-01-2025</c:v>
                  </c:pt>
                  <c:pt idx="22">
                    <c:v>01-02-2025</c:v>
                  </c:pt>
                  <c:pt idx="23">
                    <c:v>03-02-2025</c:v>
                  </c:pt>
                  <c:pt idx="24">
                    <c:v>04-02-2025</c:v>
                  </c:pt>
                  <c:pt idx="25">
                    <c:v>05-02-2025</c:v>
                  </c:pt>
                  <c:pt idx="26">
                    <c:v>06-02-2025</c:v>
                  </c:pt>
                  <c:pt idx="27">
                    <c:v>07-02-2025</c:v>
                  </c:pt>
                  <c:pt idx="28">
                    <c:v>08-02-2025</c:v>
                  </c:pt>
                  <c:pt idx="29">
                    <c:v>09-02-2025</c:v>
                  </c:pt>
                  <c:pt idx="30">
                    <c:v>11-02-2025</c:v>
                  </c:pt>
                  <c:pt idx="31">
                    <c:v>12-02-2025</c:v>
                  </c:pt>
                  <c:pt idx="32">
                    <c:v>13-02-2025</c:v>
                  </c:pt>
                  <c:pt idx="33">
                    <c:v>16-02-2025</c:v>
                  </c:pt>
                  <c:pt idx="34">
                    <c:v>17-02-2025</c:v>
                  </c:pt>
                  <c:pt idx="35">
                    <c:v>20-02-2025</c:v>
                  </c:pt>
                  <c:pt idx="36">
                    <c:v>24-02-2025</c:v>
                  </c:pt>
                  <c:pt idx="37">
                    <c:v>26-02-2025</c:v>
                  </c:pt>
                  <c:pt idx="38">
                    <c:v>27-02-2025</c:v>
                  </c:pt>
                  <c:pt idx="39">
                    <c:v>01-03-2025</c:v>
                  </c:pt>
                </c:lvl>
                <c:lvl>
                  <c:pt idx="0">
                    <c:v>02-Jan</c:v>
                  </c:pt>
                  <c:pt idx="1">
                    <c:v>03-Jan</c:v>
                  </c:pt>
                  <c:pt idx="2">
                    <c:v>04-Jan</c:v>
                  </c:pt>
                  <c:pt idx="3">
                    <c:v>05-Jan</c:v>
                  </c:pt>
                  <c:pt idx="4">
                    <c:v>06-Jan</c:v>
                  </c:pt>
                  <c:pt idx="5">
                    <c:v>09-Jan</c:v>
                  </c:pt>
                  <c:pt idx="6">
                    <c:v>10-Jan</c:v>
                  </c:pt>
                  <c:pt idx="7">
                    <c:v>11-Jan</c:v>
                  </c:pt>
                  <c:pt idx="8">
                    <c:v>12-Jan</c:v>
                  </c:pt>
                  <c:pt idx="9">
                    <c:v>13-Jan</c:v>
                  </c:pt>
                  <c:pt idx="10">
                    <c:v>14-Jan</c:v>
                  </c:pt>
                  <c:pt idx="11">
                    <c:v>15-Jan</c:v>
                  </c:pt>
                  <c:pt idx="12">
                    <c:v>17-Jan</c:v>
                  </c:pt>
                  <c:pt idx="13">
                    <c:v>19-Jan</c:v>
                  </c:pt>
                  <c:pt idx="14">
                    <c:v>22-Jan</c:v>
                  </c:pt>
                  <c:pt idx="15">
                    <c:v>23-Jan</c:v>
                  </c:pt>
                  <c:pt idx="16">
                    <c:v>24-Jan</c:v>
                  </c:pt>
                  <c:pt idx="17">
                    <c:v>25-Jan</c:v>
                  </c:pt>
                  <c:pt idx="18">
                    <c:v>26-Jan</c:v>
                  </c:pt>
                  <c:pt idx="19">
                    <c:v>27-Jan</c:v>
                  </c:pt>
                  <c:pt idx="20">
                    <c:v>28-Jan</c:v>
                  </c:pt>
                  <c:pt idx="21">
                    <c:v>29-Jan</c:v>
                  </c:pt>
                  <c:pt idx="22">
                    <c:v>01-Feb</c:v>
                  </c:pt>
                  <c:pt idx="23">
                    <c:v>03-Feb</c:v>
                  </c:pt>
                  <c:pt idx="24">
                    <c:v>04-Feb</c:v>
                  </c:pt>
                  <c:pt idx="25">
                    <c:v>05-Feb</c:v>
                  </c:pt>
                  <c:pt idx="26">
                    <c:v>06-Feb</c:v>
                  </c:pt>
                  <c:pt idx="27">
                    <c:v>07-Feb</c:v>
                  </c:pt>
                  <c:pt idx="28">
                    <c:v>08-Feb</c:v>
                  </c:pt>
                  <c:pt idx="29">
                    <c:v>09-Feb</c:v>
                  </c:pt>
                  <c:pt idx="30">
                    <c:v>11-Feb</c:v>
                  </c:pt>
                  <c:pt idx="31">
                    <c:v>12-Feb</c:v>
                  </c:pt>
                  <c:pt idx="32">
                    <c:v>13-Feb</c:v>
                  </c:pt>
                  <c:pt idx="33">
                    <c:v>16-Feb</c:v>
                  </c:pt>
                  <c:pt idx="34">
                    <c:v>17-Feb</c:v>
                  </c:pt>
                  <c:pt idx="35">
                    <c:v>20-Feb</c:v>
                  </c:pt>
                  <c:pt idx="36">
                    <c:v>24-Feb</c:v>
                  </c:pt>
                  <c:pt idx="37">
                    <c:v>26-Feb</c:v>
                  </c:pt>
                  <c:pt idx="38">
                    <c:v>27-Feb</c:v>
                  </c:pt>
                  <c:pt idx="39">
                    <c:v>01-Mar</c:v>
                  </c:pt>
                </c:lvl>
                <c:lvl>
                  <c:pt idx="0">
                    <c:v>Jan</c:v>
                  </c:pt>
                  <c:pt idx="22">
                    <c:v>Feb</c:v>
                  </c:pt>
                  <c:pt idx="39">
                    <c:v>Mar</c:v>
                  </c:pt>
                </c:lvl>
              </c:multiLvlStrCache>
            </c:multiLvlStrRef>
          </c:cat>
          <c:val>
            <c:numRef>
              <c:f>'03_Daily_MIS'!$D$2:$D$41</c:f>
              <c:numCache>
                <c:formatCode>"₹"\ #,##0.0</c:formatCode>
                <c:ptCount val="40"/>
                <c:pt idx="0">
                  <c:v>19567</c:v>
                </c:pt>
                <c:pt idx="1">
                  <c:v>11981</c:v>
                </c:pt>
                <c:pt idx="2">
                  <c:v>20755</c:v>
                </c:pt>
                <c:pt idx="3">
                  <c:v>10890</c:v>
                </c:pt>
                <c:pt idx="4">
                  <c:v>8603</c:v>
                </c:pt>
                <c:pt idx="5">
                  <c:v>35078</c:v>
                </c:pt>
                <c:pt idx="6">
                  <c:v>30179</c:v>
                </c:pt>
                <c:pt idx="7">
                  <c:v>11916</c:v>
                </c:pt>
                <c:pt idx="8">
                  <c:v>14995</c:v>
                </c:pt>
                <c:pt idx="9">
                  <c:v>12755</c:v>
                </c:pt>
                <c:pt idx="10">
                  <c:v>24865</c:v>
                </c:pt>
                <c:pt idx="11">
                  <c:v>9290</c:v>
                </c:pt>
                <c:pt idx="12">
                  <c:v>15469</c:v>
                </c:pt>
                <c:pt idx="13">
                  <c:v>12252</c:v>
                </c:pt>
                <c:pt idx="14">
                  <c:v>22135</c:v>
                </c:pt>
                <c:pt idx="15">
                  <c:v>42577</c:v>
                </c:pt>
                <c:pt idx="16">
                  <c:v>24369</c:v>
                </c:pt>
                <c:pt idx="17">
                  <c:v>24075</c:v>
                </c:pt>
                <c:pt idx="18">
                  <c:v>21092</c:v>
                </c:pt>
                <c:pt idx="19">
                  <c:v>15633</c:v>
                </c:pt>
                <c:pt idx="20">
                  <c:v>23704</c:v>
                </c:pt>
                <c:pt idx="21">
                  <c:v>21742</c:v>
                </c:pt>
                <c:pt idx="22">
                  <c:v>32248</c:v>
                </c:pt>
                <c:pt idx="23">
                  <c:v>31700</c:v>
                </c:pt>
                <c:pt idx="24">
                  <c:v>21215</c:v>
                </c:pt>
                <c:pt idx="25">
                  <c:v>14498</c:v>
                </c:pt>
                <c:pt idx="26">
                  <c:v>10054</c:v>
                </c:pt>
                <c:pt idx="27">
                  <c:v>29724</c:v>
                </c:pt>
                <c:pt idx="28">
                  <c:v>13206</c:v>
                </c:pt>
                <c:pt idx="29">
                  <c:v>6669</c:v>
                </c:pt>
                <c:pt idx="30">
                  <c:v>6521</c:v>
                </c:pt>
                <c:pt idx="31">
                  <c:v>17763</c:v>
                </c:pt>
                <c:pt idx="32">
                  <c:v>15528</c:v>
                </c:pt>
                <c:pt idx="33">
                  <c:v>18176</c:v>
                </c:pt>
                <c:pt idx="34">
                  <c:v>39749</c:v>
                </c:pt>
                <c:pt idx="35">
                  <c:v>10720</c:v>
                </c:pt>
                <c:pt idx="36">
                  <c:v>8795</c:v>
                </c:pt>
                <c:pt idx="37">
                  <c:v>11538</c:v>
                </c:pt>
                <c:pt idx="38">
                  <c:v>28632</c:v>
                </c:pt>
                <c:pt idx="39">
                  <c:v>9263</c:v>
                </c:pt>
              </c:numCache>
            </c:numRef>
          </c:val>
          <c:extLst>
            <c:ext xmlns:c16="http://schemas.microsoft.com/office/drawing/2014/chart" uri="{C3380CC4-5D6E-409C-BE32-E72D297353CC}">
              <c16:uniqueId val="{00000000-F994-412B-BC6E-BA58FC649EAC}"/>
            </c:ext>
          </c:extLst>
        </c:ser>
        <c:ser>
          <c:idx val="1"/>
          <c:order val="1"/>
          <c:tx>
            <c:strRef>
              <c:f>'03_Daily_MIS'!$E$1</c:f>
              <c:strCache>
                <c:ptCount val="1"/>
                <c:pt idx="0">
                  <c:v>Sum of Target</c:v>
                </c:pt>
              </c:strCache>
            </c:strRef>
          </c:tx>
          <c:spPr>
            <a:solidFill>
              <a:schemeClr val="accent2"/>
            </a:solidFill>
            <a:ln>
              <a:noFill/>
            </a:ln>
            <a:effectLst/>
          </c:spPr>
          <c:invertIfNegative val="0"/>
          <c:cat>
            <c:multiLvlStrRef>
              <c:f>'03_Daily_MIS'!$A$2:$C$41</c:f>
              <c:multiLvlStrCache>
                <c:ptCount val="40"/>
                <c:lvl>
                  <c:pt idx="0">
                    <c:v>02-01-2025</c:v>
                  </c:pt>
                  <c:pt idx="1">
                    <c:v>03-01-2025</c:v>
                  </c:pt>
                  <c:pt idx="2">
                    <c:v>04-01-2025</c:v>
                  </c:pt>
                  <c:pt idx="3">
                    <c:v>05-01-2025</c:v>
                  </c:pt>
                  <c:pt idx="4">
                    <c:v>06-01-2025</c:v>
                  </c:pt>
                  <c:pt idx="5">
                    <c:v>09-01-2025</c:v>
                  </c:pt>
                  <c:pt idx="6">
                    <c:v>10-01-2025</c:v>
                  </c:pt>
                  <c:pt idx="7">
                    <c:v>11-01-2025</c:v>
                  </c:pt>
                  <c:pt idx="8">
                    <c:v>12-01-2025</c:v>
                  </c:pt>
                  <c:pt idx="9">
                    <c:v>13-01-2025</c:v>
                  </c:pt>
                  <c:pt idx="10">
                    <c:v>14-01-2025</c:v>
                  </c:pt>
                  <c:pt idx="11">
                    <c:v>15-01-2025</c:v>
                  </c:pt>
                  <c:pt idx="12">
                    <c:v>17-01-2025</c:v>
                  </c:pt>
                  <c:pt idx="13">
                    <c:v>19-01-2025</c:v>
                  </c:pt>
                  <c:pt idx="14">
                    <c:v>22-01-2025</c:v>
                  </c:pt>
                  <c:pt idx="15">
                    <c:v>23-01-2025</c:v>
                  </c:pt>
                  <c:pt idx="16">
                    <c:v>24-01-2025</c:v>
                  </c:pt>
                  <c:pt idx="17">
                    <c:v>25-01-2025</c:v>
                  </c:pt>
                  <c:pt idx="18">
                    <c:v>26-01-2025</c:v>
                  </c:pt>
                  <c:pt idx="19">
                    <c:v>27-01-2025</c:v>
                  </c:pt>
                  <c:pt idx="20">
                    <c:v>28-01-2025</c:v>
                  </c:pt>
                  <c:pt idx="21">
                    <c:v>29-01-2025</c:v>
                  </c:pt>
                  <c:pt idx="22">
                    <c:v>01-02-2025</c:v>
                  </c:pt>
                  <c:pt idx="23">
                    <c:v>03-02-2025</c:v>
                  </c:pt>
                  <c:pt idx="24">
                    <c:v>04-02-2025</c:v>
                  </c:pt>
                  <c:pt idx="25">
                    <c:v>05-02-2025</c:v>
                  </c:pt>
                  <c:pt idx="26">
                    <c:v>06-02-2025</c:v>
                  </c:pt>
                  <c:pt idx="27">
                    <c:v>07-02-2025</c:v>
                  </c:pt>
                  <c:pt idx="28">
                    <c:v>08-02-2025</c:v>
                  </c:pt>
                  <c:pt idx="29">
                    <c:v>09-02-2025</c:v>
                  </c:pt>
                  <c:pt idx="30">
                    <c:v>11-02-2025</c:v>
                  </c:pt>
                  <c:pt idx="31">
                    <c:v>12-02-2025</c:v>
                  </c:pt>
                  <c:pt idx="32">
                    <c:v>13-02-2025</c:v>
                  </c:pt>
                  <c:pt idx="33">
                    <c:v>16-02-2025</c:v>
                  </c:pt>
                  <c:pt idx="34">
                    <c:v>17-02-2025</c:v>
                  </c:pt>
                  <c:pt idx="35">
                    <c:v>20-02-2025</c:v>
                  </c:pt>
                  <c:pt idx="36">
                    <c:v>24-02-2025</c:v>
                  </c:pt>
                  <c:pt idx="37">
                    <c:v>26-02-2025</c:v>
                  </c:pt>
                  <c:pt idx="38">
                    <c:v>27-02-2025</c:v>
                  </c:pt>
                  <c:pt idx="39">
                    <c:v>01-03-2025</c:v>
                  </c:pt>
                </c:lvl>
                <c:lvl>
                  <c:pt idx="0">
                    <c:v>02-Jan</c:v>
                  </c:pt>
                  <c:pt idx="1">
                    <c:v>03-Jan</c:v>
                  </c:pt>
                  <c:pt idx="2">
                    <c:v>04-Jan</c:v>
                  </c:pt>
                  <c:pt idx="3">
                    <c:v>05-Jan</c:v>
                  </c:pt>
                  <c:pt idx="4">
                    <c:v>06-Jan</c:v>
                  </c:pt>
                  <c:pt idx="5">
                    <c:v>09-Jan</c:v>
                  </c:pt>
                  <c:pt idx="6">
                    <c:v>10-Jan</c:v>
                  </c:pt>
                  <c:pt idx="7">
                    <c:v>11-Jan</c:v>
                  </c:pt>
                  <c:pt idx="8">
                    <c:v>12-Jan</c:v>
                  </c:pt>
                  <c:pt idx="9">
                    <c:v>13-Jan</c:v>
                  </c:pt>
                  <c:pt idx="10">
                    <c:v>14-Jan</c:v>
                  </c:pt>
                  <c:pt idx="11">
                    <c:v>15-Jan</c:v>
                  </c:pt>
                  <c:pt idx="12">
                    <c:v>17-Jan</c:v>
                  </c:pt>
                  <c:pt idx="13">
                    <c:v>19-Jan</c:v>
                  </c:pt>
                  <c:pt idx="14">
                    <c:v>22-Jan</c:v>
                  </c:pt>
                  <c:pt idx="15">
                    <c:v>23-Jan</c:v>
                  </c:pt>
                  <c:pt idx="16">
                    <c:v>24-Jan</c:v>
                  </c:pt>
                  <c:pt idx="17">
                    <c:v>25-Jan</c:v>
                  </c:pt>
                  <c:pt idx="18">
                    <c:v>26-Jan</c:v>
                  </c:pt>
                  <c:pt idx="19">
                    <c:v>27-Jan</c:v>
                  </c:pt>
                  <c:pt idx="20">
                    <c:v>28-Jan</c:v>
                  </c:pt>
                  <c:pt idx="21">
                    <c:v>29-Jan</c:v>
                  </c:pt>
                  <c:pt idx="22">
                    <c:v>01-Feb</c:v>
                  </c:pt>
                  <c:pt idx="23">
                    <c:v>03-Feb</c:v>
                  </c:pt>
                  <c:pt idx="24">
                    <c:v>04-Feb</c:v>
                  </c:pt>
                  <c:pt idx="25">
                    <c:v>05-Feb</c:v>
                  </c:pt>
                  <c:pt idx="26">
                    <c:v>06-Feb</c:v>
                  </c:pt>
                  <c:pt idx="27">
                    <c:v>07-Feb</c:v>
                  </c:pt>
                  <c:pt idx="28">
                    <c:v>08-Feb</c:v>
                  </c:pt>
                  <c:pt idx="29">
                    <c:v>09-Feb</c:v>
                  </c:pt>
                  <c:pt idx="30">
                    <c:v>11-Feb</c:v>
                  </c:pt>
                  <c:pt idx="31">
                    <c:v>12-Feb</c:v>
                  </c:pt>
                  <c:pt idx="32">
                    <c:v>13-Feb</c:v>
                  </c:pt>
                  <c:pt idx="33">
                    <c:v>16-Feb</c:v>
                  </c:pt>
                  <c:pt idx="34">
                    <c:v>17-Feb</c:v>
                  </c:pt>
                  <c:pt idx="35">
                    <c:v>20-Feb</c:v>
                  </c:pt>
                  <c:pt idx="36">
                    <c:v>24-Feb</c:v>
                  </c:pt>
                  <c:pt idx="37">
                    <c:v>26-Feb</c:v>
                  </c:pt>
                  <c:pt idx="38">
                    <c:v>27-Feb</c:v>
                  </c:pt>
                  <c:pt idx="39">
                    <c:v>01-Mar</c:v>
                  </c:pt>
                </c:lvl>
                <c:lvl>
                  <c:pt idx="0">
                    <c:v>Jan</c:v>
                  </c:pt>
                  <c:pt idx="22">
                    <c:v>Feb</c:v>
                  </c:pt>
                  <c:pt idx="39">
                    <c:v>Mar</c:v>
                  </c:pt>
                </c:lvl>
              </c:multiLvlStrCache>
            </c:multiLvlStrRef>
          </c:cat>
          <c:val>
            <c:numRef>
              <c:f>'03_Daily_MIS'!$E$2:$E$41</c:f>
              <c:numCache>
                <c:formatCode>General</c:formatCode>
                <c:ptCount val="40"/>
                <c:pt idx="0">
                  <c:v>18852</c:v>
                </c:pt>
                <c:pt idx="1">
                  <c:v>11848</c:v>
                </c:pt>
                <c:pt idx="2">
                  <c:v>20458</c:v>
                </c:pt>
                <c:pt idx="3">
                  <c:v>9537</c:v>
                </c:pt>
                <c:pt idx="4">
                  <c:v>9097</c:v>
                </c:pt>
                <c:pt idx="5">
                  <c:v>37107</c:v>
                </c:pt>
                <c:pt idx="6">
                  <c:v>29274</c:v>
                </c:pt>
                <c:pt idx="7">
                  <c:v>13569</c:v>
                </c:pt>
                <c:pt idx="8">
                  <c:v>15043</c:v>
                </c:pt>
                <c:pt idx="9">
                  <c:v>12437</c:v>
                </c:pt>
                <c:pt idx="10">
                  <c:v>24148</c:v>
                </c:pt>
                <c:pt idx="11">
                  <c:v>9482</c:v>
                </c:pt>
                <c:pt idx="12">
                  <c:v>14463</c:v>
                </c:pt>
                <c:pt idx="13">
                  <c:v>12603</c:v>
                </c:pt>
                <c:pt idx="14">
                  <c:v>23780</c:v>
                </c:pt>
                <c:pt idx="15">
                  <c:v>43186</c:v>
                </c:pt>
                <c:pt idx="16">
                  <c:v>26525</c:v>
                </c:pt>
                <c:pt idx="17">
                  <c:v>25120</c:v>
                </c:pt>
                <c:pt idx="18">
                  <c:v>20188</c:v>
                </c:pt>
                <c:pt idx="19">
                  <c:v>19289</c:v>
                </c:pt>
                <c:pt idx="20">
                  <c:v>23932</c:v>
                </c:pt>
                <c:pt idx="21">
                  <c:v>21750</c:v>
                </c:pt>
                <c:pt idx="22">
                  <c:v>32474</c:v>
                </c:pt>
                <c:pt idx="23">
                  <c:v>31694</c:v>
                </c:pt>
                <c:pt idx="24">
                  <c:v>22048</c:v>
                </c:pt>
                <c:pt idx="25">
                  <c:v>14032</c:v>
                </c:pt>
                <c:pt idx="26">
                  <c:v>9617</c:v>
                </c:pt>
                <c:pt idx="27">
                  <c:v>34004</c:v>
                </c:pt>
                <c:pt idx="28">
                  <c:v>11993</c:v>
                </c:pt>
                <c:pt idx="29">
                  <c:v>7673</c:v>
                </c:pt>
                <c:pt idx="30">
                  <c:v>7167</c:v>
                </c:pt>
                <c:pt idx="31">
                  <c:v>17139</c:v>
                </c:pt>
                <c:pt idx="32">
                  <c:v>15128</c:v>
                </c:pt>
                <c:pt idx="33">
                  <c:v>18571</c:v>
                </c:pt>
                <c:pt idx="34">
                  <c:v>42281</c:v>
                </c:pt>
                <c:pt idx="35">
                  <c:v>10939</c:v>
                </c:pt>
                <c:pt idx="36">
                  <c:v>9520</c:v>
                </c:pt>
                <c:pt idx="37">
                  <c:v>12383</c:v>
                </c:pt>
                <c:pt idx="38">
                  <c:v>28582</c:v>
                </c:pt>
                <c:pt idx="39">
                  <c:v>11100</c:v>
                </c:pt>
              </c:numCache>
            </c:numRef>
          </c:val>
          <c:extLst>
            <c:ext xmlns:c16="http://schemas.microsoft.com/office/drawing/2014/chart" uri="{C3380CC4-5D6E-409C-BE32-E72D297353CC}">
              <c16:uniqueId val="{00000001-F994-412B-BC6E-BA58FC649EAC}"/>
            </c:ext>
          </c:extLst>
        </c:ser>
        <c:dLbls>
          <c:showLegendKey val="0"/>
          <c:showVal val="0"/>
          <c:showCatName val="0"/>
          <c:showSerName val="0"/>
          <c:showPercent val="0"/>
          <c:showBubbleSize val="0"/>
        </c:dLbls>
        <c:gapWidth val="219"/>
        <c:axId val="1300102016"/>
        <c:axId val="1300099136"/>
      </c:barChart>
      <c:catAx>
        <c:axId val="130010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0" i="0" u="none" strike="noStrike" baseline="0"/>
                  <a:t>Date</a:t>
                </a:r>
                <a:endParaRPr lang="en-IN"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99136"/>
        <c:crosses val="autoZero"/>
        <c:auto val="1"/>
        <c:lblAlgn val="ctr"/>
        <c:lblOffset val="100"/>
        <c:tickLblSkip val="2"/>
        <c:noMultiLvlLbl val="0"/>
      </c:catAx>
      <c:valAx>
        <c:axId val="130009913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0" i="0" u="none" strike="noStrike" baseline="0"/>
                  <a:t>Sales / Target (₹</a:t>
                </a:r>
                <a:r>
                  <a:rPr lang="en-IN" sz="1000" b="0" i="0" u="none" strike="noStrike" baseline="0"/>
                  <a:t>)</a:t>
                </a:r>
                <a:endParaRPr lang="en-IN"/>
              </a:p>
            </c:rich>
          </c:tx>
          <c:layout>
            <c:manualLayout>
              <c:xMode val="edge"/>
              <c:yMode val="edge"/>
              <c:x val="2.082150293393905E-2"/>
              <c:y val="0.364022967834085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0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[Sales_MIS_Dashboard.xlsx]04_Region_MIS!PivotTable4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Sales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3">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'04_Region_MIS'!$B$1</c:f>
              <c:strCache>
                <c:ptCount val="1"/>
                <c:pt idx="0">
                  <c:v>Sum of Sales</c:v>
                </c:pt>
              </c:strCache>
            </c:strRef>
          </c:tx>
          <c:spPr>
            <a:solidFill>
              <a:schemeClr val="accent1"/>
            </a:solidFill>
            <a:ln>
              <a:noFill/>
            </a:ln>
            <a:effectLst/>
          </c:spPr>
          <c:invertIfNegative val="0"/>
          <c:cat>
            <c:strRef>
              <c:f>'04_Region_MIS'!$A$2:$A$6</c:f>
              <c:strCache>
                <c:ptCount val="4"/>
                <c:pt idx="0">
                  <c:v>East</c:v>
                </c:pt>
                <c:pt idx="1">
                  <c:v>North</c:v>
                </c:pt>
                <c:pt idx="2">
                  <c:v>South</c:v>
                </c:pt>
                <c:pt idx="3">
                  <c:v>West</c:v>
                </c:pt>
              </c:strCache>
            </c:strRef>
          </c:cat>
          <c:val>
            <c:numRef>
              <c:f>'04_Region_MIS'!$B$2:$B$6</c:f>
              <c:numCache>
                <c:formatCode>"₹"\ #,##0.0</c:formatCode>
                <c:ptCount val="4"/>
                <c:pt idx="0">
                  <c:v>223925</c:v>
                </c:pt>
                <c:pt idx="1">
                  <c:v>135147</c:v>
                </c:pt>
                <c:pt idx="2">
                  <c:v>179262</c:v>
                </c:pt>
                <c:pt idx="3">
                  <c:v>221587</c:v>
                </c:pt>
              </c:numCache>
            </c:numRef>
          </c:val>
          <c:extLst>
            <c:ext xmlns:c16="http://schemas.microsoft.com/office/drawing/2014/chart" uri="{C3380CC4-5D6E-409C-BE32-E72D297353CC}">
              <c16:uniqueId val="{00000000-98B1-488B-91C0-A8526E3CF8FF}"/>
            </c:ext>
          </c:extLst>
        </c:ser>
        <c:ser>
          <c:idx val="1"/>
          <c:order val="1"/>
          <c:tx>
            <c:strRef>
              <c:f>'04_Region_MIS'!$C$1</c:f>
              <c:strCache>
                <c:ptCount val="1"/>
                <c:pt idx="0">
                  <c:v>Sum of Target</c:v>
                </c:pt>
              </c:strCache>
            </c:strRef>
          </c:tx>
          <c:spPr>
            <a:solidFill>
              <a:schemeClr val="accent2"/>
            </a:solidFill>
            <a:ln>
              <a:solidFill>
                <a:schemeClr val="accent3">
                  <a:alpha val="96000"/>
                </a:schemeClr>
              </a:solidFill>
            </a:ln>
            <a:effectLst/>
          </c:spPr>
          <c:invertIfNegative val="0"/>
          <c:cat>
            <c:strRef>
              <c:f>'04_Region_MIS'!$A$2:$A$6</c:f>
              <c:strCache>
                <c:ptCount val="4"/>
                <c:pt idx="0">
                  <c:v>East</c:v>
                </c:pt>
                <c:pt idx="1">
                  <c:v>North</c:v>
                </c:pt>
                <c:pt idx="2">
                  <c:v>South</c:v>
                </c:pt>
                <c:pt idx="3">
                  <c:v>West</c:v>
                </c:pt>
              </c:strCache>
            </c:strRef>
          </c:cat>
          <c:val>
            <c:numRef>
              <c:f>'04_Region_MIS'!$C$2:$C$6</c:f>
              <c:numCache>
                <c:formatCode>"₹"\ #,##0.0</c:formatCode>
                <c:ptCount val="4"/>
                <c:pt idx="0">
                  <c:v>236774</c:v>
                </c:pt>
                <c:pt idx="1">
                  <c:v>135089</c:v>
                </c:pt>
                <c:pt idx="2">
                  <c:v>183318</c:v>
                </c:pt>
                <c:pt idx="3">
                  <c:v>222852</c:v>
                </c:pt>
              </c:numCache>
            </c:numRef>
          </c:val>
          <c:extLst>
            <c:ext xmlns:c16="http://schemas.microsoft.com/office/drawing/2014/chart" uri="{C3380CC4-5D6E-409C-BE32-E72D297353CC}">
              <c16:uniqueId val="{00000001-98B1-488B-91C0-A8526E3CF8FF}"/>
            </c:ext>
          </c:extLst>
        </c:ser>
        <c:dLbls>
          <c:showLegendKey val="0"/>
          <c:showVal val="0"/>
          <c:showCatName val="0"/>
          <c:showSerName val="0"/>
          <c:showPercent val="0"/>
          <c:showBubbleSize val="0"/>
        </c:dLbls>
        <c:gapWidth val="219"/>
        <c:axId val="1493559360"/>
        <c:axId val="1467282624"/>
      </c:barChart>
      <c:lineChart>
        <c:grouping val="standard"/>
        <c:varyColors val="0"/>
        <c:ser>
          <c:idx val="2"/>
          <c:order val="2"/>
          <c:tx>
            <c:strRef>
              <c:f>'04_Region_MIS'!$D$1</c:f>
              <c:strCache>
                <c:ptCount val="1"/>
                <c:pt idx="0">
                  <c:v>Achievement1 %</c:v>
                </c:pt>
              </c:strCache>
            </c:strRef>
          </c:tx>
          <c:spPr>
            <a:ln w="15875" cap="rnd">
              <a:solidFill>
                <a:schemeClr val="accent3"/>
              </a:solidFill>
              <a:round/>
            </a:ln>
            <a:effectLst/>
          </c:spPr>
          <c:marker>
            <c:symbol val="none"/>
          </c:marker>
          <c:cat>
            <c:strRef>
              <c:f>'04_Region_MIS'!$A$2:$A$6</c:f>
              <c:strCache>
                <c:ptCount val="4"/>
                <c:pt idx="0">
                  <c:v>East</c:v>
                </c:pt>
                <c:pt idx="1">
                  <c:v>North</c:v>
                </c:pt>
                <c:pt idx="2">
                  <c:v>South</c:v>
                </c:pt>
                <c:pt idx="3">
                  <c:v>West</c:v>
                </c:pt>
              </c:strCache>
            </c:strRef>
          </c:cat>
          <c:val>
            <c:numRef>
              <c:f>'04_Region_MIS'!$D$2:$D$6</c:f>
              <c:numCache>
                <c:formatCode>0.0%</c:formatCode>
                <c:ptCount val="4"/>
                <c:pt idx="0">
                  <c:v>0.94013502373193469</c:v>
                </c:pt>
                <c:pt idx="1">
                  <c:v>1.0067456164784174</c:v>
                </c:pt>
                <c:pt idx="2">
                  <c:v>0.97903574037157648</c:v>
                </c:pt>
                <c:pt idx="3">
                  <c:v>0.98162672437444198</c:v>
                </c:pt>
              </c:numCache>
            </c:numRef>
          </c:val>
          <c:smooth val="0"/>
          <c:extLst>
            <c:ext xmlns:c16="http://schemas.microsoft.com/office/drawing/2014/chart" uri="{C3380CC4-5D6E-409C-BE32-E72D297353CC}">
              <c16:uniqueId val="{00000001-FA99-4DF0-905B-3228E983BB5E}"/>
            </c:ext>
          </c:extLst>
        </c:ser>
        <c:dLbls>
          <c:showLegendKey val="0"/>
          <c:showVal val="0"/>
          <c:showCatName val="0"/>
          <c:showSerName val="0"/>
          <c:showPercent val="0"/>
          <c:showBubbleSize val="0"/>
        </c:dLbls>
        <c:marker val="1"/>
        <c:smooth val="0"/>
        <c:axId val="2072533119"/>
        <c:axId val="2072532639"/>
      </c:lineChart>
      <c:catAx>
        <c:axId val="149355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82624"/>
        <c:crossesAt val="0"/>
        <c:auto val="1"/>
        <c:lblAlgn val="ctr"/>
        <c:lblOffset val="100"/>
        <c:noMultiLvlLbl val="0"/>
      </c:catAx>
      <c:valAx>
        <c:axId val="146728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59360"/>
        <c:crosses val="autoZero"/>
        <c:crossBetween val="between"/>
      </c:valAx>
      <c:valAx>
        <c:axId val="207253263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33119"/>
        <c:crosses val="max"/>
        <c:crossBetween val="between"/>
      </c:valAx>
      <c:catAx>
        <c:axId val="2072533119"/>
        <c:scaling>
          <c:orientation val="minMax"/>
        </c:scaling>
        <c:delete val="1"/>
        <c:axPos val="b"/>
        <c:numFmt formatCode="General" sourceLinked="1"/>
        <c:majorTickMark val="out"/>
        <c:minorTickMark val="none"/>
        <c:tickLblPos val="nextTo"/>
        <c:crossAx val="2072532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[Sales_MIS_Dashboard.xlsx]05_Category_MIS!PivotTable1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Category-wise Sales Performance</a:t>
            </a:r>
          </a:p>
          <a:p>
            <a:pPr>
              <a:defRPr/>
            </a:pPr>
            <a:endParaRPr lang="en-IN"/>
          </a:p>
        </c:rich>
      </c:tx>
      <c:layout>
        <c:manualLayout>
          <c:xMode val="edge"/>
          <c:yMode val="edge"/>
          <c:x val="0.27483243388755202"/>
          <c:y val="0.119174292402638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'05_Category_MIS'!$B$1</c:f>
              <c:strCache>
                <c:ptCount val="1"/>
                <c:pt idx="0">
                  <c:v>Sum of Sales</c:v>
                </c:pt>
              </c:strCache>
            </c:strRef>
          </c:tx>
          <c:spPr>
            <a:solidFill>
              <a:schemeClr val="accent1"/>
            </a:solidFill>
            <a:ln>
              <a:noFill/>
            </a:ln>
            <a:effectLst/>
          </c:spPr>
          <c:invertIfNegative val="0"/>
          <c:cat>
            <c:strRef>
              <c:f>'05_Category_MIS'!$A$2:$A$5</c:f>
              <c:strCache>
                <c:ptCount val="3"/>
                <c:pt idx="0">
                  <c:v>Electronics</c:v>
                </c:pt>
                <c:pt idx="1">
                  <c:v>Food</c:v>
                </c:pt>
                <c:pt idx="2">
                  <c:v>Grocery</c:v>
                </c:pt>
              </c:strCache>
            </c:strRef>
          </c:cat>
          <c:val>
            <c:numRef>
              <c:f>'05_Category_MIS'!$B$2:$B$5</c:f>
              <c:numCache>
                <c:formatCode>"₹"\ #,##0.0</c:formatCode>
                <c:ptCount val="3"/>
                <c:pt idx="0">
                  <c:v>245462</c:v>
                </c:pt>
                <c:pt idx="1">
                  <c:v>245210</c:v>
                </c:pt>
                <c:pt idx="2">
                  <c:v>269249</c:v>
                </c:pt>
              </c:numCache>
            </c:numRef>
          </c:val>
          <c:extLst>
            <c:ext xmlns:c16="http://schemas.microsoft.com/office/drawing/2014/chart" uri="{C3380CC4-5D6E-409C-BE32-E72D297353CC}">
              <c16:uniqueId val="{00000000-5250-42D8-88A9-F6C5BAB38048}"/>
            </c:ext>
          </c:extLst>
        </c:ser>
        <c:ser>
          <c:idx val="1"/>
          <c:order val="1"/>
          <c:tx>
            <c:strRef>
              <c:f>'05_Category_MIS'!$C$1</c:f>
              <c:strCache>
                <c:ptCount val="1"/>
                <c:pt idx="0">
                  <c:v>Sum of Target</c:v>
                </c:pt>
              </c:strCache>
            </c:strRef>
          </c:tx>
          <c:spPr>
            <a:solidFill>
              <a:schemeClr val="accent2"/>
            </a:solidFill>
            <a:ln>
              <a:noFill/>
            </a:ln>
            <a:effectLst/>
          </c:spPr>
          <c:invertIfNegative val="0"/>
          <c:cat>
            <c:strRef>
              <c:f>'05_Category_MIS'!$A$2:$A$5</c:f>
              <c:strCache>
                <c:ptCount val="3"/>
                <c:pt idx="0">
                  <c:v>Electronics</c:v>
                </c:pt>
                <c:pt idx="1">
                  <c:v>Food</c:v>
                </c:pt>
                <c:pt idx="2">
                  <c:v>Grocery</c:v>
                </c:pt>
              </c:strCache>
            </c:strRef>
          </c:cat>
          <c:val>
            <c:numRef>
              <c:f>'05_Category_MIS'!$C$2:$C$5</c:f>
              <c:numCache>
                <c:formatCode>"₹"\ #,##0.0</c:formatCode>
                <c:ptCount val="3"/>
                <c:pt idx="0">
                  <c:v>254986</c:v>
                </c:pt>
                <c:pt idx="1">
                  <c:v>248894</c:v>
                </c:pt>
                <c:pt idx="2">
                  <c:v>274153</c:v>
                </c:pt>
              </c:numCache>
            </c:numRef>
          </c:val>
          <c:extLst>
            <c:ext xmlns:c16="http://schemas.microsoft.com/office/drawing/2014/chart" uri="{C3380CC4-5D6E-409C-BE32-E72D297353CC}">
              <c16:uniqueId val="{00000001-5250-42D8-88A9-F6C5BAB38048}"/>
            </c:ext>
          </c:extLst>
        </c:ser>
        <c:dLbls>
          <c:showLegendKey val="0"/>
          <c:showVal val="0"/>
          <c:showCatName val="0"/>
          <c:showSerName val="0"/>
          <c:showPercent val="0"/>
          <c:showBubbleSize val="0"/>
        </c:dLbls>
        <c:gapWidth val="219"/>
        <c:axId val="1488260703"/>
        <c:axId val="1488261663"/>
      </c:barChart>
      <c:lineChart>
        <c:grouping val="standard"/>
        <c:varyColors val="0"/>
        <c:ser>
          <c:idx val="2"/>
          <c:order val="2"/>
          <c:tx>
            <c:strRef>
              <c:f>'05_Category_MIS'!$D$1</c:f>
              <c:strCache>
                <c:ptCount val="1"/>
                <c:pt idx="0">
                  <c:v>Achievement 2%</c:v>
                </c:pt>
              </c:strCache>
            </c:strRef>
          </c:tx>
          <c:spPr>
            <a:ln w="15875" cap="rnd">
              <a:solidFill>
                <a:schemeClr val="accent3"/>
              </a:solidFill>
              <a:round/>
            </a:ln>
            <a:effectLst/>
          </c:spPr>
          <c:marker>
            <c:symbol val="none"/>
          </c:marker>
          <c:cat>
            <c:strRef>
              <c:f>'05_Category_MIS'!$A$2:$A$5</c:f>
              <c:strCache>
                <c:ptCount val="3"/>
                <c:pt idx="0">
                  <c:v>Electronics</c:v>
                </c:pt>
                <c:pt idx="1">
                  <c:v>Food</c:v>
                </c:pt>
                <c:pt idx="2">
                  <c:v>Grocery</c:v>
                </c:pt>
              </c:strCache>
            </c:strRef>
          </c:cat>
          <c:val>
            <c:numRef>
              <c:f>'05_Category_MIS'!$D$2:$D$5</c:f>
              <c:numCache>
                <c:formatCode>0.0%</c:formatCode>
                <c:ptCount val="3"/>
                <c:pt idx="0">
                  <c:v>0.96113039638739606</c:v>
                </c:pt>
                <c:pt idx="1">
                  <c:v>0.98305184346807295</c:v>
                </c:pt>
                <c:pt idx="2">
                  <c:v>0.97467141186838258</c:v>
                </c:pt>
              </c:numCache>
            </c:numRef>
          </c:val>
          <c:smooth val="0"/>
          <c:extLst>
            <c:ext xmlns:c16="http://schemas.microsoft.com/office/drawing/2014/chart" uri="{C3380CC4-5D6E-409C-BE32-E72D297353CC}">
              <c16:uniqueId val="{00000000-4C3D-41BA-A679-0FE9E57008F5}"/>
            </c:ext>
          </c:extLst>
        </c:ser>
        <c:dLbls>
          <c:showLegendKey val="0"/>
          <c:showVal val="0"/>
          <c:showCatName val="0"/>
          <c:showSerName val="0"/>
          <c:showPercent val="0"/>
          <c:showBubbleSize val="0"/>
        </c:dLbls>
        <c:marker val="1"/>
        <c:smooth val="0"/>
        <c:axId val="1962978479"/>
        <c:axId val="1962970799"/>
      </c:lineChart>
      <c:catAx>
        <c:axId val="148826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61663"/>
        <c:crosses val="autoZero"/>
        <c:auto val="1"/>
        <c:lblAlgn val="ctr"/>
        <c:lblOffset val="100"/>
        <c:noMultiLvlLbl val="0"/>
      </c:catAx>
      <c:valAx>
        <c:axId val="1488261663"/>
        <c:scaling>
          <c:orientation val="minMax"/>
        </c:scaling>
        <c:delete val="0"/>
        <c:axPos val="l"/>
        <c:majorGridlines>
          <c:spPr>
            <a:ln w="3175" cap="flat" cmpd="sng" algn="ctr">
              <a:gradFill>
                <a:gsLst>
                  <a:gs pos="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60703"/>
        <c:crosses val="autoZero"/>
        <c:crossBetween val="between"/>
      </c:valAx>
      <c:valAx>
        <c:axId val="196297079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78479"/>
        <c:crosses val="max"/>
        <c:crossBetween val="between"/>
      </c:valAx>
      <c:catAx>
        <c:axId val="1962978479"/>
        <c:scaling>
          <c:orientation val="minMax"/>
        </c:scaling>
        <c:delete val="1"/>
        <c:axPos val="b"/>
        <c:numFmt formatCode="General" sourceLinked="1"/>
        <c:majorTickMark val="out"/>
        <c:minorTickMark val="none"/>
        <c:tickLblPos val="nextTo"/>
        <c:crossAx val="1962970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[Sales_MIS_Dashboard.xlsx]07_Monthly_MIS!PivotTable1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'07_Monthly_MIS'!$B$1</c:f>
              <c:strCache>
                <c:ptCount val="1"/>
                <c:pt idx="0">
                  <c:v>Sum of Sales</c:v>
                </c:pt>
              </c:strCache>
            </c:strRef>
          </c:tx>
          <c:spPr>
            <a:solidFill>
              <a:schemeClr val="accent1"/>
            </a:solidFill>
            <a:ln>
              <a:noFill/>
            </a:ln>
            <a:effectLst/>
          </c:spPr>
          <c:invertIfNegative val="0"/>
          <c:cat>
            <c:strRef>
              <c:f>'07_Monthly_MIS'!$A$2:$A$5</c:f>
              <c:strCache>
                <c:ptCount val="3"/>
                <c:pt idx="0">
                  <c:v>Feb-2025</c:v>
                </c:pt>
                <c:pt idx="1">
                  <c:v>Jan-2025</c:v>
                </c:pt>
                <c:pt idx="2">
                  <c:v>Mar-2025</c:v>
                </c:pt>
              </c:strCache>
            </c:strRef>
          </c:cat>
          <c:val>
            <c:numRef>
              <c:f>'07_Monthly_MIS'!$B$2:$B$5</c:f>
              <c:numCache>
                <c:formatCode>"₹"\ #,##0.0</c:formatCode>
                <c:ptCount val="3"/>
                <c:pt idx="0">
                  <c:v>316736</c:v>
                </c:pt>
                <c:pt idx="1">
                  <c:v>433922</c:v>
                </c:pt>
                <c:pt idx="2">
                  <c:v>9263</c:v>
                </c:pt>
              </c:numCache>
            </c:numRef>
          </c:val>
          <c:extLst>
            <c:ext xmlns:c16="http://schemas.microsoft.com/office/drawing/2014/chart" uri="{C3380CC4-5D6E-409C-BE32-E72D297353CC}">
              <c16:uniqueId val="{00000000-E85A-4F11-9292-DA9A76C52DB6}"/>
            </c:ext>
          </c:extLst>
        </c:ser>
        <c:ser>
          <c:idx val="1"/>
          <c:order val="1"/>
          <c:tx>
            <c:strRef>
              <c:f>'07_Monthly_MIS'!$C$1</c:f>
              <c:strCache>
                <c:ptCount val="1"/>
                <c:pt idx="0">
                  <c:v>Sum of Target</c:v>
                </c:pt>
              </c:strCache>
            </c:strRef>
          </c:tx>
          <c:spPr>
            <a:solidFill>
              <a:schemeClr val="accent2"/>
            </a:solidFill>
            <a:ln>
              <a:noFill/>
            </a:ln>
            <a:effectLst/>
          </c:spPr>
          <c:invertIfNegative val="0"/>
          <c:cat>
            <c:strRef>
              <c:f>'07_Monthly_MIS'!$A$2:$A$5</c:f>
              <c:strCache>
                <c:ptCount val="3"/>
                <c:pt idx="0">
                  <c:v>Feb-2025</c:v>
                </c:pt>
                <c:pt idx="1">
                  <c:v>Jan-2025</c:v>
                </c:pt>
                <c:pt idx="2">
                  <c:v>Mar-2025</c:v>
                </c:pt>
              </c:strCache>
            </c:strRef>
          </c:cat>
          <c:val>
            <c:numRef>
              <c:f>'07_Monthly_MIS'!$C$2:$C$5</c:f>
              <c:numCache>
                <c:formatCode>"₹"\ #,##0.0</c:formatCode>
                <c:ptCount val="3"/>
                <c:pt idx="0">
                  <c:v>325245</c:v>
                </c:pt>
                <c:pt idx="1">
                  <c:v>441688</c:v>
                </c:pt>
                <c:pt idx="2">
                  <c:v>11100</c:v>
                </c:pt>
              </c:numCache>
            </c:numRef>
          </c:val>
          <c:extLst>
            <c:ext xmlns:c16="http://schemas.microsoft.com/office/drawing/2014/chart" uri="{C3380CC4-5D6E-409C-BE32-E72D297353CC}">
              <c16:uniqueId val="{00000001-E85A-4F11-9292-DA9A76C52DB6}"/>
            </c:ext>
          </c:extLst>
        </c:ser>
        <c:dLbls>
          <c:showLegendKey val="0"/>
          <c:showVal val="0"/>
          <c:showCatName val="0"/>
          <c:showSerName val="0"/>
          <c:showPercent val="0"/>
          <c:showBubbleSize val="0"/>
        </c:dLbls>
        <c:gapWidth val="219"/>
        <c:axId val="927397823"/>
        <c:axId val="927386303"/>
      </c:barChart>
      <c:lineChart>
        <c:grouping val="standard"/>
        <c:varyColors val="0"/>
        <c:ser>
          <c:idx val="2"/>
          <c:order val="2"/>
          <c:tx>
            <c:strRef>
              <c:f>'07_Monthly_MIS'!$D$1</c:f>
              <c:strCache>
                <c:ptCount val="1"/>
                <c:pt idx="0">
                  <c:v>Achievement 3%</c:v>
                </c:pt>
              </c:strCache>
            </c:strRef>
          </c:tx>
          <c:spPr>
            <a:ln w="15875" cap="rnd">
              <a:solidFill>
                <a:schemeClr val="accent3"/>
              </a:solidFill>
              <a:round/>
            </a:ln>
            <a:effectLst/>
          </c:spPr>
          <c:marker>
            <c:symbol val="none"/>
          </c:marker>
          <c:cat>
            <c:strRef>
              <c:f>'07_Monthly_MIS'!$A$2:$A$5</c:f>
              <c:strCache>
                <c:ptCount val="3"/>
                <c:pt idx="0">
                  <c:v>Feb-2025</c:v>
                </c:pt>
                <c:pt idx="1">
                  <c:v>Jan-2025</c:v>
                </c:pt>
                <c:pt idx="2">
                  <c:v>Mar-2025</c:v>
                </c:pt>
              </c:strCache>
            </c:strRef>
          </c:cat>
          <c:val>
            <c:numRef>
              <c:f>'07_Monthly_MIS'!$D$2:$D$5</c:f>
              <c:numCache>
                <c:formatCode>0.0%</c:formatCode>
                <c:ptCount val="3"/>
                <c:pt idx="0">
                  <c:v>0.97401692879397417</c:v>
                </c:pt>
                <c:pt idx="1">
                  <c:v>0.97551057952803943</c:v>
                </c:pt>
                <c:pt idx="2">
                  <c:v>0.83450450450450453</c:v>
                </c:pt>
              </c:numCache>
            </c:numRef>
          </c:val>
          <c:smooth val="0"/>
          <c:extLst>
            <c:ext xmlns:c16="http://schemas.microsoft.com/office/drawing/2014/chart" uri="{C3380CC4-5D6E-409C-BE32-E72D297353CC}">
              <c16:uniqueId val="{00000000-2FF0-4AB1-86D8-9D37D4D906AC}"/>
            </c:ext>
          </c:extLst>
        </c:ser>
        <c:dLbls>
          <c:showLegendKey val="0"/>
          <c:showVal val="0"/>
          <c:showCatName val="0"/>
          <c:showSerName val="0"/>
          <c:showPercent val="0"/>
          <c:showBubbleSize val="0"/>
        </c:dLbls>
        <c:marker val="1"/>
        <c:smooth val="0"/>
        <c:axId val="2034899455"/>
        <c:axId val="2034898975"/>
      </c:lineChart>
      <c:catAx>
        <c:axId val="92739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86303"/>
        <c:crosses val="autoZero"/>
        <c:auto val="1"/>
        <c:lblAlgn val="ctr"/>
        <c:lblOffset val="100"/>
        <c:noMultiLvlLbl val="0"/>
      </c:catAx>
      <c:valAx>
        <c:axId val="927386303"/>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97823"/>
        <c:crosses val="autoZero"/>
        <c:crossBetween val="between"/>
      </c:valAx>
      <c:valAx>
        <c:axId val="203489897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99455"/>
        <c:crosses val="max"/>
        <c:crossBetween val="between"/>
      </c:valAx>
      <c:catAx>
        <c:axId val="2034899455"/>
        <c:scaling>
          <c:orientation val="minMax"/>
        </c:scaling>
        <c:delete val="1"/>
        <c:axPos val="b"/>
        <c:numFmt formatCode="General" sourceLinked="1"/>
        <c:majorTickMark val="out"/>
        <c:minorTickMark val="none"/>
        <c:tickLblPos val="nextTo"/>
        <c:crossAx val="20348989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468630</xdr:colOff>
      <xdr:row>27</xdr:row>
      <xdr:rowOff>179070</xdr:rowOff>
    </xdr:to>
    <xdr:graphicFrame macro="">
      <xdr:nvGraphicFramePr>
        <xdr:cNvPr id="3" name="Chart 2">
          <a:extLst>
            <a:ext uri="{FF2B5EF4-FFF2-40B4-BE49-F238E27FC236}">
              <a16:creationId xmlns:a16="http://schemas.microsoft.com/office/drawing/2014/main" id="{D7746172-E290-4B13-B8AA-F50C28E5D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7</xdr:row>
      <xdr:rowOff>129540</xdr:rowOff>
    </xdr:from>
    <xdr:to>
      <xdr:col>11</xdr:col>
      <xdr:colOff>601980</xdr:colOff>
      <xdr:row>27</xdr:row>
      <xdr:rowOff>106680</xdr:rowOff>
    </xdr:to>
    <xdr:graphicFrame macro="">
      <xdr:nvGraphicFramePr>
        <xdr:cNvPr id="2" name="Region-wise Sales Performance">
          <a:extLst>
            <a:ext uri="{FF2B5EF4-FFF2-40B4-BE49-F238E27FC236}">
              <a16:creationId xmlns:a16="http://schemas.microsoft.com/office/drawing/2014/main" id="{640C53BA-C7A5-4471-DD24-DC6EE4EEF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598170</xdr:colOff>
      <xdr:row>2</xdr:row>
      <xdr:rowOff>3810</xdr:rowOff>
    </xdr:from>
    <xdr:to>
      <xdr:col>14</xdr:col>
      <xdr:colOff>0</xdr:colOff>
      <xdr:row>18</xdr:row>
      <xdr:rowOff>38100</xdr:rowOff>
    </xdr:to>
    <xdr:graphicFrame macro="">
      <xdr:nvGraphicFramePr>
        <xdr:cNvPr id="2" name="Chart 1">
          <a:extLst>
            <a:ext uri="{FF2B5EF4-FFF2-40B4-BE49-F238E27FC236}">
              <a16:creationId xmlns:a16="http://schemas.microsoft.com/office/drawing/2014/main" id="{7C48AD42-60A8-3A51-BC17-4C53E431D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598170</xdr:colOff>
      <xdr:row>2</xdr:row>
      <xdr:rowOff>11430</xdr:rowOff>
    </xdr:from>
    <xdr:to>
      <xdr:col>16</xdr:col>
      <xdr:colOff>30480</xdr:colOff>
      <xdr:row>20</xdr:row>
      <xdr:rowOff>15240</xdr:rowOff>
    </xdr:to>
    <xdr:graphicFrame macro="">
      <xdr:nvGraphicFramePr>
        <xdr:cNvPr id="2" name="Chart 1">
          <a:extLst>
            <a:ext uri="{FF2B5EF4-FFF2-40B4-BE49-F238E27FC236}">
              <a16:creationId xmlns:a16="http://schemas.microsoft.com/office/drawing/2014/main" id="{2D0AAC7F-0FFF-856A-48F8-0D0A4F9BB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NT Deval" refreshedDate="46021.687811111115" createdVersion="8" refreshedVersion="8" minRefreshableVersion="3" recordCount="70" xr:uid="{2F538C8E-56A5-4179-A782-E2AA2ABB85BA}">
  <cacheSource type="worksheet">
    <worksheetSource name="Table3"/>
  </cacheSource>
  <cacheFields count="14">
    <cacheField name="Date" numFmtId="14">
      <sharedItems containsSemiMixedTypes="0" containsNonDate="0" containsDate="1" containsString="0" minDate="2025-01-02T00:00:00" maxDate="2025-03-02T00:00:00" count="40">
        <d v="2025-01-29T00:00:00"/>
        <d v="2025-01-22T00:00:00"/>
        <d v="2025-01-06T00:00:00"/>
        <d v="2025-01-09T00:00:00"/>
        <d v="2025-02-01T00:00:00"/>
        <d v="2025-02-12T00:00:00"/>
        <d v="2025-02-17T00:00:00"/>
        <d v="2025-02-13T00:00:00"/>
        <d v="2025-01-26T00:00:00"/>
        <d v="2025-01-05T00:00:00"/>
        <d v="2025-01-25T00:00:00"/>
        <d v="2025-01-28T00:00:00"/>
        <d v="2025-02-20T00:00:00"/>
        <d v="2025-01-27T00:00:00"/>
        <d v="2025-01-24T00:00:00"/>
        <d v="2025-02-26T00:00:00"/>
        <d v="2025-02-24T00:00:00"/>
        <d v="2025-02-08T00:00:00"/>
        <d v="2025-01-12T00:00:00"/>
        <d v="2025-01-15T00:00:00"/>
        <d v="2025-01-14T00:00:00"/>
        <d v="2025-02-27T00:00:00"/>
        <d v="2025-01-23T00:00:00"/>
        <d v="2025-02-07T00:00:00"/>
        <d v="2025-02-06T00:00:00"/>
        <d v="2025-02-03T00:00:00"/>
        <d v="2025-01-03T00:00:00"/>
        <d v="2025-01-11T00:00:00"/>
        <d v="2025-02-04T00:00:00"/>
        <d v="2025-01-04T00:00:00"/>
        <d v="2025-02-16T00:00:00"/>
        <d v="2025-01-10T00:00:00"/>
        <d v="2025-01-02T00:00:00"/>
        <d v="2025-03-01T00:00:00"/>
        <d v="2025-02-09T00:00:00"/>
        <d v="2025-01-19T00:00:00"/>
        <d v="2025-02-11T00:00:00"/>
        <d v="2025-02-05T00:00:00"/>
        <d v="2025-01-13T00:00:00"/>
        <d v="2025-01-17T00:00:00"/>
      </sharedItems>
      <fieldGroup par="12"/>
    </cacheField>
    <cacheField name="Month" numFmtId="14">
      <sharedItems count="3">
        <s v="Jan-2025"/>
        <s v="Feb-2025"/>
        <s v="Mar-2025"/>
      </sharedItems>
    </cacheField>
    <cacheField name="Order_ID" numFmtId="0">
      <sharedItems containsSemiMixedTypes="0" containsString="0" containsNumber="1" containsInteger="1" minValue="1001" maxValue="1070"/>
    </cacheField>
    <cacheField name="Region" numFmtId="0">
      <sharedItems count="4">
        <s v="East"/>
        <s v="West"/>
        <s v="South"/>
        <s v="North"/>
      </sharedItems>
    </cacheField>
    <cacheField name="City" numFmtId="0">
      <sharedItems/>
    </cacheField>
    <cacheField name="Category" numFmtId="0">
      <sharedItems count="3">
        <s v="Grocery"/>
        <s v="Electronics"/>
        <s v="Food"/>
      </sharedItems>
    </cacheField>
    <cacheField name="Sales" numFmtId="0">
      <sharedItems containsSemiMixedTypes="0" containsString="0" containsNumber="1" containsInteger="1" minValue="5301" maxValue="17055"/>
    </cacheField>
    <cacheField name="Target" numFmtId="0">
      <sharedItems containsSemiMixedTypes="0" containsString="0" containsNumber="1" containsInteger="1" minValue="7128" maxValue="15786"/>
    </cacheField>
    <cacheField name="Ach_Helper" numFmtId="164">
      <sharedItems containsSemiMixedTypes="0" containsString="0" containsNumber="1" minValue="0.74160604364857308" maxValue="1.1696873584050749"/>
    </cacheField>
    <cacheField name="monthly target" numFmtId="0">
      <sharedItems containsNonDate="0" containsString="0" containsBlank="1"/>
    </cacheField>
    <cacheField name="Achievement %2" numFmtId="0" formula="Sales/Target" databaseField="0"/>
    <cacheField name="Days (Date)" numFmtId="0" databaseField="0">
      <fieldGroup base="0">
        <rangePr groupBy="days" startDate="2025-01-02T00:00:00" endDate="2025-03-02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5"/>
        </groupItems>
      </fieldGroup>
    </cacheField>
    <cacheField name="Months (Date)" numFmtId="0" databaseField="0">
      <fieldGroup base="0">
        <rangePr groupBy="months" startDate="2025-01-02T00:00:00" endDate="2025-03-02T00:00:00"/>
        <groupItems count="14">
          <s v="&lt;02-01-2025"/>
          <s v="Jan"/>
          <s v="Feb"/>
          <s v="Mar"/>
          <s v="Apr"/>
          <s v="May"/>
          <s v="Jun"/>
          <s v="Jul"/>
          <s v="Aug"/>
          <s v="Sep"/>
          <s v="Oct"/>
          <s v="Nov"/>
          <s v="Dec"/>
          <s v="&gt;02-03-2025"/>
        </groupItems>
      </fieldGroup>
    </cacheField>
    <cacheField name="Achievement %" numFmtId="0" formula="Sales/Target"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n v="1001"/>
    <x v="0"/>
    <s v="Kolkata"/>
    <x v="0"/>
    <n v="7060"/>
    <n v="8369"/>
    <n v="0.84358943720874657"/>
    <m/>
  </r>
  <r>
    <x v="1"/>
    <x v="0"/>
    <n v="1002"/>
    <x v="1"/>
    <s v="Mumbai"/>
    <x v="0"/>
    <n v="5301"/>
    <n v="7148"/>
    <n v="0.74160604364857308"/>
    <m/>
  </r>
  <r>
    <x v="2"/>
    <x v="0"/>
    <n v="1003"/>
    <x v="0"/>
    <s v="Kolkata"/>
    <x v="0"/>
    <n v="8603"/>
    <n v="9097"/>
    <n v="0.94569638342310647"/>
    <m/>
  </r>
  <r>
    <x v="3"/>
    <x v="0"/>
    <n v="1004"/>
    <x v="0"/>
    <s v="Kolkata"/>
    <x v="1"/>
    <n v="6715"/>
    <n v="8047"/>
    <n v="0.83447247421399284"/>
    <m/>
  </r>
  <r>
    <x v="4"/>
    <x v="1"/>
    <n v="1005"/>
    <x v="2"/>
    <s v="Bangalore"/>
    <x v="1"/>
    <n v="8880"/>
    <n v="7920"/>
    <n v="1.1212121212121211"/>
    <m/>
  </r>
  <r>
    <x v="5"/>
    <x v="1"/>
    <n v="1006"/>
    <x v="2"/>
    <s v="Bangalore"/>
    <x v="0"/>
    <n v="10326"/>
    <n v="8828"/>
    <n v="1.1696873584050749"/>
    <m/>
  </r>
  <r>
    <x v="6"/>
    <x v="1"/>
    <n v="1007"/>
    <x v="3"/>
    <s v="Delhi"/>
    <x v="2"/>
    <n v="8205"/>
    <n v="7128"/>
    <n v="1.1510942760942762"/>
    <m/>
  </r>
  <r>
    <x v="7"/>
    <x v="1"/>
    <n v="1008"/>
    <x v="2"/>
    <s v="Bangalore"/>
    <x v="1"/>
    <n v="15528"/>
    <n v="15128"/>
    <n v="1.0264410364886303"/>
    <m/>
  </r>
  <r>
    <x v="8"/>
    <x v="0"/>
    <n v="1009"/>
    <x v="1"/>
    <s v="Mumbai"/>
    <x v="2"/>
    <n v="12060"/>
    <n v="10877"/>
    <n v="1.1087616070607704"/>
    <m/>
  </r>
  <r>
    <x v="9"/>
    <x v="0"/>
    <n v="1010"/>
    <x v="3"/>
    <s v="Delhi"/>
    <x v="1"/>
    <n v="10890"/>
    <n v="9537"/>
    <n v="1.1418685121107266"/>
    <m/>
  </r>
  <r>
    <x v="10"/>
    <x v="0"/>
    <n v="1011"/>
    <x v="0"/>
    <s v="Kolkata"/>
    <x v="1"/>
    <n v="12393"/>
    <n v="13951"/>
    <n v="0.88832341767615219"/>
    <m/>
  </r>
  <r>
    <x v="11"/>
    <x v="0"/>
    <n v="1012"/>
    <x v="0"/>
    <s v="Kolkata"/>
    <x v="2"/>
    <n v="11769"/>
    <n v="10566"/>
    <n v="1.1138557637705848"/>
    <m/>
  </r>
  <r>
    <x v="12"/>
    <x v="1"/>
    <n v="1013"/>
    <x v="2"/>
    <s v="Bangalore"/>
    <x v="2"/>
    <n v="10720"/>
    <n v="10939"/>
    <n v="0.97997988847243811"/>
    <m/>
  </r>
  <r>
    <x v="13"/>
    <x v="0"/>
    <n v="1014"/>
    <x v="0"/>
    <s v="Kolkata"/>
    <x v="0"/>
    <n v="7101"/>
    <n v="9092"/>
    <n v="0.78101627804663443"/>
    <m/>
  </r>
  <r>
    <x v="14"/>
    <x v="0"/>
    <n v="1015"/>
    <x v="0"/>
    <s v="Kolkata"/>
    <x v="1"/>
    <n v="6384"/>
    <n v="7749"/>
    <n v="0.82384823848238486"/>
    <m/>
  </r>
  <r>
    <x v="15"/>
    <x v="1"/>
    <n v="1016"/>
    <x v="0"/>
    <s v="Kolkata"/>
    <x v="2"/>
    <n v="11538"/>
    <n v="12383"/>
    <n v="0.93176128563352989"/>
    <m/>
  </r>
  <r>
    <x v="16"/>
    <x v="1"/>
    <n v="1017"/>
    <x v="1"/>
    <s v="Mumbai"/>
    <x v="1"/>
    <n v="8795"/>
    <n v="9520"/>
    <n v="0.9238445378151261"/>
    <m/>
  </r>
  <r>
    <x v="3"/>
    <x v="0"/>
    <n v="1018"/>
    <x v="3"/>
    <s v="Delhi"/>
    <x v="0"/>
    <n v="14794"/>
    <n v="14584"/>
    <n v="1.0143993417443773"/>
    <m/>
  </r>
  <r>
    <x v="17"/>
    <x v="1"/>
    <n v="1019"/>
    <x v="3"/>
    <s v="Delhi"/>
    <x v="0"/>
    <n v="13206"/>
    <n v="11993"/>
    <n v="1.1011423330275993"/>
    <m/>
  </r>
  <r>
    <x v="18"/>
    <x v="0"/>
    <n v="1020"/>
    <x v="1"/>
    <s v="Mumbai"/>
    <x v="2"/>
    <n v="14995"/>
    <n v="15043"/>
    <n v="0.99680914711161339"/>
    <m/>
  </r>
  <r>
    <x v="6"/>
    <x v="1"/>
    <n v="1021"/>
    <x v="2"/>
    <s v="Bangalore"/>
    <x v="0"/>
    <n v="6537"/>
    <n v="7461"/>
    <n v="0.87615601125854448"/>
    <m/>
  </r>
  <r>
    <x v="19"/>
    <x v="0"/>
    <n v="1022"/>
    <x v="2"/>
    <s v="Bangalore"/>
    <x v="2"/>
    <n v="9290"/>
    <n v="9482"/>
    <n v="0.97975110736131621"/>
    <m/>
  </r>
  <r>
    <x v="5"/>
    <x v="1"/>
    <n v="1023"/>
    <x v="1"/>
    <s v="Mumbai"/>
    <x v="0"/>
    <n v="7437"/>
    <n v="8311"/>
    <n v="0.8948381662856455"/>
    <m/>
  </r>
  <r>
    <x v="20"/>
    <x v="0"/>
    <n v="1024"/>
    <x v="1"/>
    <s v="Mumbai"/>
    <x v="0"/>
    <n v="9274"/>
    <n v="8712"/>
    <n v="1.0645087235996327"/>
    <m/>
  </r>
  <r>
    <x v="21"/>
    <x v="1"/>
    <n v="1025"/>
    <x v="1"/>
    <s v="Mumbai"/>
    <x v="0"/>
    <n v="15791"/>
    <n v="14440"/>
    <n v="1.0935595567867036"/>
    <m/>
  </r>
  <r>
    <x v="22"/>
    <x v="0"/>
    <n v="1026"/>
    <x v="2"/>
    <s v="Bangalore"/>
    <x v="1"/>
    <n v="11697"/>
    <n v="11836"/>
    <n v="0.98825616762419732"/>
    <m/>
  </r>
  <r>
    <x v="23"/>
    <x v="1"/>
    <n v="1027"/>
    <x v="3"/>
    <s v="Delhi"/>
    <x v="0"/>
    <n v="11262"/>
    <n v="12649"/>
    <n v="0.89034706300893351"/>
    <m/>
  </r>
  <r>
    <x v="24"/>
    <x v="1"/>
    <n v="1028"/>
    <x v="2"/>
    <s v="Bangalore"/>
    <x v="2"/>
    <n v="10054"/>
    <n v="9617"/>
    <n v="1.045440366018509"/>
    <m/>
  </r>
  <r>
    <x v="25"/>
    <x v="1"/>
    <n v="1029"/>
    <x v="1"/>
    <s v="Mumbai"/>
    <x v="0"/>
    <n v="11632"/>
    <n v="10621"/>
    <n v="1.0951887769513229"/>
    <m/>
  </r>
  <r>
    <x v="23"/>
    <x v="1"/>
    <n v="1030"/>
    <x v="3"/>
    <s v="Delhi"/>
    <x v="1"/>
    <n v="9146"/>
    <n v="11110"/>
    <n v="0.82322232223222325"/>
    <m/>
  </r>
  <r>
    <x v="26"/>
    <x v="0"/>
    <n v="1031"/>
    <x v="0"/>
    <s v="Kolkata"/>
    <x v="0"/>
    <n v="11981"/>
    <n v="11848"/>
    <n v="1.0112255232950709"/>
    <m/>
  </r>
  <r>
    <x v="27"/>
    <x v="0"/>
    <n v="1032"/>
    <x v="1"/>
    <s v="Mumbai"/>
    <x v="1"/>
    <n v="11916"/>
    <n v="13569"/>
    <n v="0.87817820030952909"/>
    <m/>
  </r>
  <r>
    <x v="28"/>
    <x v="1"/>
    <n v="1033"/>
    <x v="0"/>
    <s v="Kolkata"/>
    <x v="0"/>
    <n v="9518"/>
    <n v="10837"/>
    <n v="0.87828734889729632"/>
    <m/>
  </r>
  <r>
    <x v="4"/>
    <x v="1"/>
    <n v="1034"/>
    <x v="3"/>
    <s v="Delhi"/>
    <x v="0"/>
    <n v="12980"/>
    <n v="13710"/>
    <n v="0.94675419401896421"/>
    <m/>
  </r>
  <r>
    <x v="1"/>
    <x v="0"/>
    <n v="1035"/>
    <x v="2"/>
    <s v="Bangalore"/>
    <x v="1"/>
    <n v="9556"/>
    <n v="9229"/>
    <n v="1.0354317910932929"/>
    <m/>
  </r>
  <r>
    <x v="29"/>
    <x v="0"/>
    <n v="1036"/>
    <x v="3"/>
    <s v="Delhi"/>
    <x v="1"/>
    <n v="8874"/>
    <n v="9817"/>
    <n v="0.90394214118366101"/>
    <m/>
  </r>
  <r>
    <x v="28"/>
    <x v="1"/>
    <n v="1037"/>
    <x v="2"/>
    <s v="Bangalore"/>
    <x v="1"/>
    <n v="11697"/>
    <n v="11211"/>
    <n v="1.0433502809740434"/>
    <m/>
  </r>
  <r>
    <x v="30"/>
    <x v="1"/>
    <n v="1038"/>
    <x v="3"/>
    <s v="Delhi"/>
    <x v="0"/>
    <n v="9834"/>
    <n v="10145"/>
    <n v="0.96934450468210942"/>
    <m/>
  </r>
  <r>
    <x v="31"/>
    <x v="0"/>
    <n v="1039"/>
    <x v="1"/>
    <s v="Mumbai"/>
    <x v="1"/>
    <n v="17055"/>
    <n v="15689"/>
    <n v="1.0870673720441073"/>
    <m/>
  </r>
  <r>
    <x v="25"/>
    <x v="1"/>
    <n v="1040"/>
    <x v="2"/>
    <s v="Bangalore"/>
    <x v="2"/>
    <n v="6459"/>
    <n v="7255"/>
    <n v="0.8902825637491385"/>
    <m/>
  </r>
  <r>
    <x v="14"/>
    <x v="0"/>
    <n v="1041"/>
    <x v="1"/>
    <s v="Mumbai"/>
    <x v="2"/>
    <n v="6365"/>
    <n v="7374"/>
    <n v="0.8631678871711419"/>
    <m/>
  </r>
  <r>
    <x v="32"/>
    <x v="0"/>
    <n v="1042"/>
    <x v="3"/>
    <s v="Delhi"/>
    <x v="1"/>
    <n v="9867"/>
    <n v="10119"/>
    <n v="0.97509635339460421"/>
    <m/>
  </r>
  <r>
    <x v="33"/>
    <x v="2"/>
    <n v="1043"/>
    <x v="0"/>
    <s v="Kolkata"/>
    <x v="2"/>
    <n v="9263"/>
    <n v="11100"/>
    <n v="0.83450450450450453"/>
    <m/>
  </r>
  <r>
    <x v="34"/>
    <x v="1"/>
    <n v="1044"/>
    <x v="2"/>
    <s v="Bangalore"/>
    <x v="2"/>
    <n v="6669"/>
    <n v="7673"/>
    <n v="0.86915157044180891"/>
    <m/>
  </r>
  <r>
    <x v="0"/>
    <x v="0"/>
    <n v="1045"/>
    <x v="1"/>
    <s v="Mumbai"/>
    <x v="2"/>
    <n v="14682"/>
    <n v="13381"/>
    <n v="1.0972274120020926"/>
    <m/>
  </r>
  <r>
    <x v="25"/>
    <x v="1"/>
    <n v="1046"/>
    <x v="0"/>
    <s v="Kolkata"/>
    <x v="2"/>
    <n v="13609"/>
    <n v="13818"/>
    <n v="0.98487480098422353"/>
    <m/>
  </r>
  <r>
    <x v="22"/>
    <x v="0"/>
    <n v="1047"/>
    <x v="3"/>
    <s v="Delhi"/>
    <x v="0"/>
    <n v="16389"/>
    <n v="15564"/>
    <n v="1.0530069390902081"/>
    <m/>
  </r>
  <r>
    <x v="13"/>
    <x v="0"/>
    <n v="1048"/>
    <x v="1"/>
    <s v="Mumbai"/>
    <x v="2"/>
    <n v="8532"/>
    <n v="10197"/>
    <n v="0.8367166813768756"/>
    <m/>
  </r>
  <r>
    <x v="14"/>
    <x v="0"/>
    <n v="1049"/>
    <x v="1"/>
    <s v="Mumbai"/>
    <x v="0"/>
    <n v="11620"/>
    <n v="11402"/>
    <n v="1.0191194527275917"/>
    <m/>
  </r>
  <r>
    <x v="22"/>
    <x v="0"/>
    <n v="1050"/>
    <x v="0"/>
    <s v="Kolkata"/>
    <x v="2"/>
    <n v="14491"/>
    <n v="15786"/>
    <n v="0.91796528569618652"/>
    <m/>
  </r>
  <r>
    <x v="35"/>
    <x v="0"/>
    <n v="1051"/>
    <x v="0"/>
    <s v="Kolkata"/>
    <x v="1"/>
    <n v="12252"/>
    <n v="12603"/>
    <n v="0.97214948821709113"/>
    <m/>
  </r>
  <r>
    <x v="3"/>
    <x v="0"/>
    <n v="1052"/>
    <x v="0"/>
    <s v="Kolkata"/>
    <x v="1"/>
    <n v="13569"/>
    <n v="14476"/>
    <n v="0.93734457032329377"/>
    <m/>
  </r>
  <r>
    <x v="21"/>
    <x v="1"/>
    <n v="1053"/>
    <x v="1"/>
    <s v="Mumbai"/>
    <x v="1"/>
    <n v="12841"/>
    <n v="14142"/>
    <n v="0.90800452552679956"/>
    <m/>
  </r>
  <r>
    <x v="23"/>
    <x v="1"/>
    <n v="1054"/>
    <x v="2"/>
    <s v="Bangalore"/>
    <x v="2"/>
    <n v="9316"/>
    <n v="10245"/>
    <n v="0.90932162030258668"/>
    <m/>
  </r>
  <r>
    <x v="30"/>
    <x v="1"/>
    <n v="1055"/>
    <x v="0"/>
    <s v="Kolkata"/>
    <x v="1"/>
    <n v="8342"/>
    <n v="8426"/>
    <n v="0.99003085687158798"/>
    <m/>
  </r>
  <r>
    <x v="36"/>
    <x v="1"/>
    <n v="1056"/>
    <x v="1"/>
    <s v="Mumbai"/>
    <x v="1"/>
    <n v="6521"/>
    <n v="7167"/>
    <n v="0.90986465745779266"/>
    <m/>
  </r>
  <r>
    <x v="4"/>
    <x v="1"/>
    <n v="1057"/>
    <x v="1"/>
    <s v="Mumbai"/>
    <x v="1"/>
    <n v="10388"/>
    <n v="10844"/>
    <n v="0.95794909627443747"/>
    <m/>
  </r>
  <r>
    <x v="29"/>
    <x v="0"/>
    <n v="1058"/>
    <x v="1"/>
    <s v="Mumbai"/>
    <x v="0"/>
    <n v="11881"/>
    <n v="10641"/>
    <n v="1.1165304012780755"/>
    <m/>
  </r>
  <r>
    <x v="37"/>
    <x v="1"/>
    <n v="1059"/>
    <x v="0"/>
    <s v="Kolkata"/>
    <x v="2"/>
    <n v="14498"/>
    <n v="14032"/>
    <n v="1.0332098061573547"/>
    <m/>
  </r>
  <r>
    <x v="1"/>
    <x v="0"/>
    <n v="1060"/>
    <x v="0"/>
    <s v="Kolkata"/>
    <x v="0"/>
    <n v="7278"/>
    <n v="7403"/>
    <n v="0.9831149533972714"/>
    <m/>
  </r>
  <r>
    <x v="10"/>
    <x v="0"/>
    <n v="1061"/>
    <x v="0"/>
    <s v="Kolkata"/>
    <x v="0"/>
    <n v="11682"/>
    <n v="11169"/>
    <n v="1.0459307010475423"/>
    <m/>
  </r>
  <r>
    <x v="8"/>
    <x v="0"/>
    <n v="1062"/>
    <x v="1"/>
    <s v="Mumbai"/>
    <x v="1"/>
    <n v="9032"/>
    <n v="9311"/>
    <n v="0.97003544195038127"/>
    <m/>
  </r>
  <r>
    <x v="32"/>
    <x v="0"/>
    <n v="1063"/>
    <x v="3"/>
    <s v="Delhi"/>
    <x v="2"/>
    <n v="9700"/>
    <n v="8733"/>
    <n v="1.1107294171533264"/>
    <m/>
  </r>
  <r>
    <x v="6"/>
    <x v="1"/>
    <n v="1064"/>
    <x v="2"/>
    <s v="Bangalore"/>
    <x v="0"/>
    <n v="12088"/>
    <n v="13865"/>
    <n v="0.87183555715831229"/>
    <m/>
  </r>
  <r>
    <x v="11"/>
    <x v="0"/>
    <n v="1065"/>
    <x v="2"/>
    <s v="Bangalore"/>
    <x v="2"/>
    <n v="11935"/>
    <n v="13366"/>
    <n v="0.89293730360616486"/>
    <m/>
  </r>
  <r>
    <x v="6"/>
    <x v="1"/>
    <n v="1066"/>
    <x v="2"/>
    <s v="Bangalore"/>
    <x v="0"/>
    <n v="12919"/>
    <n v="13827"/>
    <n v="0.93433138063209664"/>
    <m/>
  </r>
  <r>
    <x v="38"/>
    <x v="0"/>
    <n v="1067"/>
    <x v="0"/>
    <s v="Kolkata"/>
    <x v="0"/>
    <n v="12755"/>
    <n v="12437"/>
    <n v="1.0255688670901342"/>
    <m/>
  </r>
  <r>
    <x v="20"/>
    <x v="0"/>
    <n v="1068"/>
    <x v="2"/>
    <s v="Bangalore"/>
    <x v="2"/>
    <n v="15591"/>
    <n v="15436"/>
    <n v="1.010041461518528"/>
    <m/>
  </r>
  <r>
    <x v="31"/>
    <x v="0"/>
    <n v="1069"/>
    <x v="0"/>
    <s v="Kolkata"/>
    <x v="1"/>
    <n v="13124"/>
    <n v="13585"/>
    <n v="0.96606551343393454"/>
    <m/>
  </r>
  <r>
    <x v="39"/>
    <x v="0"/>
    <n v="1070"/>
    <x v="1"/>
    <s v="Mumbai"/>
    <x v="2"/>
    <n v="15469"/>
    <n v="14463"/>
    <n v="1.06955680011062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DD059B-14E4-4145-8A6A-B3520876F46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A1:E41" firstHeaderRow="0" firstDataRow="1" firstDataCol="3"/>
  <pivotFields count="14">
    <pivotField axis="axisRow" compact="0" outline="0" showAll="0" defaultSubtotal="0">
      <items count="40">
        <item x="32"/>
        <item x="26"/>
        <item x="29"/>
        <item x="9"/>
        <item x="2"/>
        <item x="3"/>
        <item x="31"/>
        <item x="27"/>
        <item x="18"/>
        <item x="38"/>
        <item x="20"/>
        <item x="19"/>
        <item x="39"/>
        <item x="35"/>
        <item x="1"/>
        <item x="22"/>
        <item x="14"/>
        <item x="10"/>
        <item x="8"/>
        <item x="13"/>
        <item x="11"/>
        <item x="0"/>
        <item x="4"/>
        <item x="25"/>
        <item x="28"/>
        <item x="37"/>
        <item x="24"/>
        <item x="23"/>
        <item x="17"/>
        <item x="34"/>
        <item x="36"/>
        <item x="5"/>
        <item x="7"/>
        <item x="30"/>
        <item x="6"/>
        <item x="12"/>
        <item x="16"/>
        <item x="15"/>
        <item x="21"/>
        <item x="33"/>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numFmtId="164" outline="0" subtotalTop="0" showAll="0" defaultSubtotal="0"/>
    <pivotField compact="0" outline="0" subtotalTop="0" showAll="0" defaultSubtotal="0"/>
    <pivotField compact="0" outline="0" subtotalTop="0" dragToRow="0" dragToCol="0" dragToPage="0" showAll="0" defaultSubtotal="0"/>
    <pivotField axis="axisRow"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compact="0" outline="0" subtotalTop="0" showAll="0" defaultSubtotal="0">
      <items count="14">
        <item x="0"/>
        <item x="1"/>
        <item x="2"/>
        <item x="3"/>
        <item x="4"/>
        <item x="5"/>
        <item x="6"/>
        <item x="7"/>
        <item x="8"/>
        <item x="9"/>
        <item x="10"/>
        <item x="11"/>
        <item x="12"/>
        <item x="13"/>
      </items>
    </pivotField>
    <pivotField compact="0" outline="0" subtotalTop="0" dragToRow="0" dragToCol="0" dragToPage="0" showAll="0" defaultSubtotal="0"/>
  </pivotFields>
  <rowFields count="3">
    <field x="12"/>
    <field x="11"/>
    <field x="0"/>
  </rowFields>
  <rowItems count="40">
    <i>
      <x v="1"/>
      <x v="2"/>
      <x/>
    </i>
    <i r="1">
      <x v="3"/>
      <x v="1"/>
    </i>
    <i r="1">
      <x v="4"/>
      <x v="2"/>
    </i>
    <i r="1">
      <x v="5"/>
      <x v="3"/>
    </i>
    <i r="1">
      <x v="6"/>
      <x v="4"/>
    </i>
    <i r="1">
      <x v="9"/>
      <x v="5"/>
    </i>
    <i r="1">
      <x v="10"/>
      <x v="6"/>
    </i>
    <i r="1">
      <x v="11"/>
      <x v="7"/>
    </i>
    <i r="1">
      <x v="12"/>
      <x v="8"/>
    </i>
    <i r="1">
      <x v="13"/>
      <x v="9"/>
    </i>
    <i r="1">
      <x v="14"/>
      <x v="10"/>
    </i>
    <i r="1">
      <x v="15"/>
      <x v="11"/>
    </i>
    <i r="1">
      <x v="17"/>
      <x v="12"/>
    </i>
    <i r="1">
      <x v="19"/>
      <x v="13"/>
    </i>
    <i r="1">
      <x v="22"/>
      <x v="14"/>
    </i>
    <i r="1">
      <x v="23"/>
      <x v="15"/>
    </i>
    <i r="1">
      <x v="24"/>
      <x v="16"/>
    </i>
    <i r="1">
      <x v="25"/>
      <x v="17"/>
    </i>
    <i r="1">
      <x v="26"/>
      <x v="18"/>
    </i>
    <i r="1">
      <x v="27"/>
      <x v="19"/>
    </i>
    <i r="1">
      <x v="28"/>
      <x v="20"/>
    </i>
    <i r="1">
      <x v="29"/>
      <x v="21"/>
    </i>
    <i>
      <x v="2"/>
      <x v="32"/>
      <x v="22"/>
    </i>
    <i r="1">
      <x v="34"/>
      <x v="23"/>
    </i>
    <i r="1">
      <x v="35"/>
      <x v="24"/>
    </i>
    <i r="1">
      <x v="36"/>
      <x v="25"/>
    </i>
    <i r="1">
      <x v="37"/>
      <x v="26"/>
    </i>
    <i r="1">
      <x v="38"/>
      <x v="27"/>
    </i>
    <i r="1">
      <x v="39"/>
      <x v="28"/>
    </i>
    <i r="1">
      <x v="40"/>
      <x v="29"/>
    </i>
    <i r="1">
      <x v="42"/>
      <x v="30"/>
    </i>
    <i r="1">
      <x v="43"/>
      <x v="31"/>
    </i>
    <i r="1">
      <x v="44"/>
      <x v="32"/>
    </i>
    <i r="1">
      <x v="47"/>
      <x v="33"/>
    </i>
    <i r="1">
      <x v="48"/>
      <x v="34"/>
    </i>
    <i r="1">
      <x v="51"/>
      <x v="35"/>
    </i>
    <i r="1">
      <x v="55"/>
      <x v="36"/>
    </i>
    <i r="1">
      <x v="57"/>
      <x v="37"/>
    </i>
    <i r="1">
      <x v="58"/>
      <x v="38"/>
    </i>
    <i>
      <x v="3"/>
      <x v="61"/>
      <x v="39"/>
    </i>
  </rowItems>
  <colFields count="1">
    <field x="-2"/>
  </colFields>
  <colItems count="2">
    <i>
      <x/>
    </i>
    <i i="1">
      <x v="1"/>
    </i>
  </colItems>
  <dataFields count="2">
    <dataField name="Sum of Sales" fld="6" baseField="0" baseItem="0" numFmtId="165"/>
    <dataField name="Sum of Target" fld="7" baseField="0" baseItem="0"/>
  </dataFields>
  <formats count="7">
    <format dxfId="31">
      <pivotArea outline="0" collapsedLevelsAreSubtotals="1" fieldPosition="0"/>
    </format>
    <format dxfId="30">
      <pivotArea dataOnly="0" labelOnly="1" outline="0" axis="axisValues" fieldPosition="0"/>
    </format>
    <format dxfId="29">
      <pivotArea dataOnly="0" labelOnly="1" outline="0" fieldPosition="0">
        <references count="1">
          <reference field="0" count="0"/>
        </references>
      </pivotArea>
    </format>
    <format dxfId="28">
      <pivotArea dataOnly="0" labelOnly="1" outline="0" fieldPosition="0">
        <references count="1">
          <reference field="4294967294" count="1">
            <x v="0"/>
          </reference>
        </references>
      </pivotArea>
    </format>
    <format dxfId="27">
      <pivotArea field="0" type="button" dataOnly="0" labelOnly="1" outline="0" axis="axisRow" fieldPosition="2"/>
    </format>
    <format dxfId="26">
      <pivotArea outline="0" fieldPosition="0">
        <references count="1">
          <reference field="4294967294" count="1" selected="0">
            <x v="0"/>
          </reference>
        </references>
      </pivotArea>
    </format>
    <format dxfId="25">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1A0A2-3FA8-4232-82D7-C9508E2735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6" firstHeaderRow="0" firstDataRow="1" firstDataCol="1"/>
  <pivotFields count="14">
    <pivotField showAll="0">
      <items count="41">
        <item x="32"/>
        <item x="26"/>
        <item x="29"/>
        <item x="9"/>
        <item x="2"/>
        <item x="3"/>
        <item x="31"/>
        <item x="27"/>
        <item x="18"/>
        <item x="38"/>
        <item x="20"/>
        <item x="19"/>
        <item x="39"/>
        <item x="35"/>
        <item x="1"/>
        <item x="22"/>
        <item x="14"/>
        <item x="10"/>
        <item x="8"/>
        <item x="13"/>
        <item x="11"/>
        <item x="0"/>
        <item x="4"/>
        <item x="25"/>
        <item x="28"/>
        <item x="37"/>
        <item x="24"/>
        <item x="23"/>
        <item x="17"/>
        <item x="34"/>
        <item x="36"/>
        <item x="5"/>
        <item x="7"/>
        <item x="30"/>
        <item x="6"/>
        <item x="12"/>
        <item x="16"/>
        <item x="15"/>
        <item x="21"/>
        <item x="33"/>
        <item t="default"/>
      </items>
    </pivotField>
    <pivotField showAll="0"/>
    <pivotField showAll="0"/>
    <pivotField axis="axisRow" showAll="0">
      <items count="5">
        <item x="0"/>
        <item x="3"/>
        <item x="2"/>
        <item x="1"/>
        <item t="default"/>
      </items>
    </pivotField>
    <pivotField showAll="0"/>
    <pivotField showAll="0"/>
    <pivotField dataField="1" showAll="0"/>
    <pivotField dataField="1" showAll="0"/>
    <pivotField dataField="1" numFmtId="164"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
    <i>
      <x/>
    </i>
    <i>
      <x v="1"/>
    </i>
    <i>
      <x v="2"/>
    </i>
    <i>
      <x v="3"/>
    </i>
    <i t="grand">
      <x/>
    </i>
  </rowItems>
  <colFields count="1">
    <field x="-2"/>
  </colFields>
  <colItems count="3">
    <i>
      <x/>
    </i>
    <i i="1">
      <x v="1"/>
    </i>
    <i i="2">
      <x v="2"/>
    </i>
  </colItems>
  <dataFields count="3">
    <dataField name="Sum of Sales" fld="6" baseField="0" baseItem="0" numFmtId="165"/>
    <dataField name="Sum of Target" fld="7" baseField="0" baseItem="0" numFmtId="165"/>
    <dataField name="Achievement1 %" fld="8" subtotal="average" baseField="3" baseItem="0" numFmtId="164"/>
  </dataFields>
  <formats count="4">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s>
  <conditionalFormats count="4">
    <conditionalFormat priority="4">
      <pivotAreas count="1">
        <pivotArea type="data" collapsedLevelsAreSubtotals="1" fieldPosition="0">
          <references count="2">
            <reference field="4294967294" count="1" selected="0">
              <x v="2"/>
            </reference>
            <reference field="3" count="4">
              <x v="0"/>
              <x v="1"/>
              <x v="2"/>
              <x v="3"/>
            </reference>
          </references>
        </pivotArea>
      </pivotAreas>
    </conditionalFormat>
    <conditionalFormat priority="3">
      <pivotAreas count="1">
        <pivotArea type="data" collapsedLevelsAreSubtotals="1" fieldPosition="0">
          <references count="2">
            <reference field="4294967294" count="1" selected="0">
              <x v="2"/>
            </reference>
            <reference field="3" count="4">
              <x v="0"/>
              <x v="1"/>
              <x v="2"/>
              <x v="3"/>
            </reference>
          </references>
        </pivotArea>
      </pivotAreas>
    </conditionalFormat>
    <conditionalFormat priority="2">
      <pivotAreas count="1">
        <pivotArea type="data" collapsedLevelsAreSubtotals="1" fieldPosition="0">
          <references count="2">
            <reference field="4294967294" count="1" selected="0">
              <x v="2"/>
            </reference>
            <reference field="3" count="4">
              <x v="0"/>
              <x v="1"/>
              <x v="2"/>
              <x v="3"/>
            </reference>
          </references>
        </pivotArea>
      </pivotAreas>
    </conditionalFormat>
    <conditionalFormat priority="1">
      <pivotAreas count="1">
        <pivotArea type="data" collapsedLevelsAreSubtotals="1" fieldPosition="0">
          <references count="2">
            <reference field="4294967294" count="1" selected="0">
              <x v="2"/>
            </reference>
            <reference field="3" count="4">
              <x v="0"/>
              <x v="1"/>
              <x v="2"/>
              <x v="3"/>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E5968F-0F33-4673-BA92-2BBF68FC03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0" firstDataRow="1" firstDataCol="1"/>
  <pivotFields count="14">
    <pivotField showAll="0">
      <items count="41">
        <item x="32"/>
        <item x="26"/>
        <item x="29"/>
        <item x="9"/>
        <item x="2"/>
        <item x="3"/>
        <item x="31"/>
        <item x="27"/>
        <item x="18"/>
        <item x="38"/>
        <item x="20"/>
        <item x="19"/>
        <item x="39"/>
        <item x="35"/>
        <item x="1"/>
        <item x="22"/>
        <item x="14"/>
        <item x="10"/>
        <item x="8"/>
        <item x="13"/>
        <item x="11"/>
        <item x="0"/>
        <item x="4"/>
        <item x="25"/>
        <item x="28"/>
        <item x="37"/>
        <item x="24"/>
        <item x="23"/>
        <item x="17"/>
        <item x="34"/>
        <item x="36"/>
        <item x="5"/>
        <item x="7"/>
        <item x="30"/>
        <item x="6"/>
        <item x="12"/>
        <item x="16"/>
        <item x="15"/>
        <item x="21"/>
        <item x="33"/>
        <item t="default"/>
      </items>
    </pivotField>
    <pivotField showAll="0"/>
    <pivotField showAll="0"/>
    <pivotField showAll="0"/>
    <pivotField showAll="0"/>
    <pivotField axis="axisRow" showAll="0">
      <items count="4">
        <item x="1"/>
        <item x="2"/>
        <item x="0"/>
        <item t="default"/>
      </items>
    </pivotField>
    <pivotField dataField="1" showAll="0"/>
    <pivotField dataField="1" showAll="0"/>
    <pivotField dataField="1" numFmtId="164"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4">
    <i>
      <x/>
    </i>
    <i>
      <x v="1"/>
    </i>
    <i>
      <x v="2"/>
    </i>
    <i t="grand">
      <x/>
    </i>
  </rowItems>
  <colFields count="1">
    <field x="-2"/>
  </colFields>
  <colItems count="3">
    <i>
      <x/>
    </i>
    <i i="1">
      <x v="1"/>
    </i>
    <i i="2">
      <x v="2"/>
    </i>
  </colItems>
  <dataFields count="3">
    <dataField name="Sum of Sales" fld="6" baseField="0" baseItem="0" numFmtId="165"/>
    <dataField name="Sum of Target" fld="7" baseField="0" baseItem="0" numFmtId="165"/>
    <dataField name="Achievement 2%" fld="8" subtotal="average" baseField="5" baseItem="0" numFmtId="164"/>
  </dataFields>
  <formats count="4">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12">
      <pivotArea outline="0" collapsedLevelsAreSubtotals="1" fieldPosition="0">
        <references count="1">
          <reference field="4294967294" count="1" selected="0">
            <x v="0"/>
          </reference>
        </references>
      </pivotArea>
    </format>
    <format dxfId="11">
      <pivotArea dataOnly="0" labelOnly="1" outline="0" fieldPosition="0">
        <references count="1">
          <reference field="4294967294" count="1">
            <x v="0"/>
          </reference>
        </references>
      </pivotArea>
    </format>
  </formats>
  <conditionalFormats count="2">
    <conditionalFormat priority="2">
      <pivotAreas count="1">
        <pivotArea type="data" collapsedLevelsAreSubtotals="1" fieldPosition="0">
          <references count="2">
            <reference field="4294967294" count="1" selected="0">
              <x v="2"/>
            </reference>
            <reference field="5" count="3">
              <x v="0"/>
              <x v="1"/>
              <x v="2"/>
            </reference>
          </references>
        </pivotArea>
      </pivotAreas>
    </conditionalFormat>
    <conditionalFormat priority="1">
      <pivotAreas count="1">
        <pivotArea type="data" collapsedLevelsAreSubtotals="1" fieldPosition="0">
          <references count="2">
            <reference field="4294967294" count="1" selected="0">
              <x v="2"/>
            </reference>
            <reference field="5" count="3">
              <x v="0"/>
              <x v="1"/>
              <x v="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BEE3CA-A018-47B0-B313-7CF879B29E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0" firstDataRow="1" firstDataCol="1"/>
  <pivotFields count="14">
    <pivotField numFmtId="14" showAll="0">
      <items count="41">
        <item x="32"/>
        <item x="26"/>
        <item x="29"/>
        <item x="9"/>
        <item x="2"/>
        <item x="3"/>
        <item x="31"/>
        <item x="27"/>
        <item x="18"/>
        <item x="38"/>
        <item x="20"/>
        <item x="19"/>
        <item x="39"/>
        <item x="35"/>
        <item x="1"/>
        <item x="22"/>
        <item x="14"/>
        <item x="10"/>
        <item x="8"/>
        <item x="13"/>
        <item x="11"/>
        <item x="0"/>
        <item x="4"/>
        <item x="25"/>
        <item x="28"/>
        <item x="37"/>
        <item x="24"/>
        <item x="23"/>
        <item x="17"/>
        <item x="34"/>
        <item x="36"/>
        <item x="5"/>
        <item x="7"/>
        <item x="30"/>
        <item x="6"/>
        <item x="12"/>
        <item x="16"/>
        <item x="15"/>
        <item x="21"/>
        <item x="33"/>
        <item t="default"/>
      </items>
    </pivotField>
    <pivotField axis="axisRow" showAll="0">
      <items count="4">
        <item x="1"/>
        <item x="0"/>
        <item x="2"/>
        <item t="default"/>
      </items>
    </pivotField>
    <pivotField showAll="0"/>
    <pivotField showAll="0"/>
    <pivotField showAll="0"/>
    <pivotField showAll="0"/>
    <pivotField dataField="1" showAll="0"/>
    <pivotField dataField="1" showAll="0"/>
    <pivotField dataField="1" numFmtId="164"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4">
    <i>
      <x/>
    </i>
    <i>
      <x v="1"/>
    </i>
    <i>
      <x v="2"/>
    </i>
    <i t="grand">
      <x/>
    </i>
  </rowItems>
  <colFields count="1">
    <field x="-2"/>
  </colFields>
  <colItems count="3">
    <i>
      <x/>
    </i>
    <i i="1">
      <x v="1"/>
    </i>
    <i i="2">
      <x v="2"/>
    </i>
  </colItems>
  <dataFields count="3">
    <dataField name="Sum of Sales" fld="6" baseField="0" baseItem="0" numFmtId="165"/>
    <dataField name="Sum of Target" fld="7" baseField="0" baseItem="0" numFmtId="165"/>
    <dataField name="Achievement 3%" fld="8" subtotal="average" baseField="1" baseItem="0" numFmtId="164"/>
  </dataFields>
  <formats count="2">
    <format dxfId="8">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conditionalFormats count="2">
    <conditionalFormat priority="2">
      <pivotAreas count="1">
        <pivotArea type="data" collapsedLevelsAreSubtotals="1" fieldPosition="0">
          <references count="2">
            <reference field="4294967294" count="1" selected="0">
              <x v="2"/>
            </reference>
            <reference field="1" count="3">
              <x v="0"/>
              <x v="1"/>
              <x v="2"/>
            </reference>
          </references>
        </pivotArea>
      </pivotAreas>
    </conditionalFormat>
    <conditionalFormat priority="1">
      <pivotAreas count="1">
        <pivotArea type="data" collapsedLevelsAreSubtotals="1" fieldPosition="0">
          <references count="2">
            <reference field="4294967294" count="1" selected="0">
              <x v="2"/>
            </reference>
            <reference field="1" count="3">
              <x v="0"/>
              <x v="1"/>
              <x v="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8840E-1691-4A15-A948-72AED042183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D171" firstHeaderRow="0" firstDataRow="1" firstDataCol="1"/>
  <pivotFields count="14">
    <pivotField axis="axisRow" numFmtId="14" showAll="0">
      <items count="41">
        <item x="32"/>
        <item x="26"/>
        <item x="29"/>
        <item x="9"/>
        <item x="2"/>
        <item x="3"/>
        <item x="31"/>
        <item x="27"/>
        <item x="18"/>
        <item x="38"/>
        <item x="20"/>
        <item x="19"/>
        <item x="39"/>
        <item x="35"/>
        <item x="1"/>
        <item x="22"/>
        <item x="14"/>
        <item x="10"/>
        <item x="8"/>
        <item x="13"/>
        <item x="11"/>
        <item x="0"/>
        <item x="4"/>
        <item x="25"/>
        <item x="28"/>
        <item x="37"/>
        <item x="24"/>
        <item x="23"/>
        <item x="17"/>
        <item x="34"/>
        <item x="36"/>
        <item x="5"/>
        <item x="7"/>
        <item x="30"/>
        <item x="6"/>
        <item x="12"/>
        <item x="16"/>
        <item x="15"/>
        <item x="21"/>
        <item x="33"/>
        <item t="default"/>
      </items>
    </pivotField>
    <pivotField showAll="0"/>
    <pivotField showAll="0"/>
    <pivotField axis="axisRow" showAll="0">
      <items count="5">
        <item x="0"/>
        <item x="3"/>
        <item x="2"/>
        <item x="1"/>
        <item t="default"/>
      </items>
    </pivotField>
    <pivotField showAll="0"/>
    <pivotField axis="axisRow" showAll="0">
      <items count="4">
        <item x="1"/>
        <item x="2"/>
        <item x="0"/>
        <item t="default"/>
      </items>
    </pivotField>
    <pivotField dataField="1" showAll="0"/>
    <pivotField dataField="1" showAll="0"/>
    <pivotField numFmtId="164" showAll="0"/>
    <pivotField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3">
    <field x="0"/>
    <field x="3"/>
    <field x="5"/>
  </rowFields>
  <rowItems count="168">
    <i>
      <x/>
    </i>
    <i r="1">
      <x v="1"/>
    </i>
    <i r="2">
      <x/>
    </i>
    <i r="2">
      <x v="1"/>
    </i>
    <i>
      <x v="1"/>
    </i>
    <i r="1">
      <x/>
    </i>
    <i r="2">
      <x v="2"/>
    </i>
    <i>
      <x v="2"/>
    </i>
    <i r="1">
      <x v="1"/>
    </i>
    <i r="2">
      <x/>
    </i>
    <i r="1">
      <x v="3"/>
    </i>
    <i r="2">
      <x v="2"/>
    </i>
    <i>
      <x v="3"/>
    </i>
    <i r="1">
      <x v="1"/>
    </i>
    <i r="2">
      <x/>
    </i>
    <i>
      <x v="4"/>
    </i>
    <i r="1">
      <x/>
    </i>
    <i r="2">
      <x v="2"/>
    </i>
    <i>
      <x v="5"/>
    </i>
    <i r="1">
      <x/>
    </i>
    <i r="2">
      <x/>
    </i>
    <i r="1">
      <x v="1"/>
    </i>
    <i r="2">
      <x v="2"/>
    </i>
    <i>
      <x v="6"/>
    </i>
    <i r="1">
      <x/>
    </i>
    <i r="2">
      <x/>
    </i>
    <i r="1">
      <x v="3"/>
    </i>
    <i r="2">
      <x/>
    </i>
    <i>
      <x v="7"/>
    </i>
    <i r="1">
      <x v="3"/>
    </i>
    <i r="2">
      <x/>
    </i>
    <i>
      <x v="8"/>
    </i>
    <i r="1">
      <x v="3"/>
    </i>
    <i r="2">
      <x v="1"/>
    </i>
    <i>
      <x v="9"/>
    </i>
    <i r="1">
      <x/>
    </i>
    <i r="2">
      <x v="2"/>
    </i>
    <i>
      <x v="10"/>
    </i>
    <i r="1">
      <x v="2"/>
    </i>
    <i r="2">
      <x v="1"/>
    </i>
    <i r="1">
      <x v="3"/>
    </i>
    <i r="2">
      <x v="2"/>
    </i>
    <i>
      <x v="11"/>
    </i>
    <i r="1">
      <x v="2"/>
    </i>
    <i r="2">
      <x v="1"/>
    </i>
    <i>
      <x v="12"/>
    </i>
    <i r="1">
      <x v="3"/>
    </i>
    <i r="2">
      <x v="1"/>
    </i>
    <i>
      <x v="13"/>
    </i>
    <i r="1">
      <x/>
    </i>
    <i r="2">
      <x/>
    </i>
    <i>
      <x v="14"/>
    </i>
    <i r="1">
      <x/>
    </i>
    <i r="2">
      <x v="2"/>
    </i>
    <i r="1">
      <x v="2"/>
    </i>
    <i r="2">
      <x/>
    </i>
    <i r="1">
      <x v="3"/>
    </i>
    <i r="2">
      <x v="2"/>
    </i>
    <i>
      <x v="15"/>
    </i>
    <i r="1">
      <x/>
    </i>
    <i r="2">
      <x v="1"/>
    </i>
    <i r="1">
      <x v="1"/>
    </i>
    <i r="2">
      <x v="2"/>
    </i>
    <i r="1">
      <x v="2"/>
    </i>
    <i r="2">
      <x/>
    </i>
    <i>
      <x v="16"/>
    </i>
    <i r="1">
      <x/>
    </i>
    <i r="2">
      <x/>
    </i>
    <i r="1">
      <x v="3"/>
    </i>
    <i r="2">
      <x v="1"/>
    </i>
    <i r="2">
      <x v="2"/>
    </i>
    <i>
      <x v="17"/>
    </i>
    <i r="1">
      <x/>
    </i>
    <i r="2">
      <x/>
    </i>
    <i r="2">
      <x v="2"/>
    </i>
    <i>
      <x v="18"/>
    </i>
    <i r="1">
      <x v="3"/>
    </i>
    <i r="2">
      <x/>
    </i>
    <i r="2">
      <x v="1"/>
    </i>
    <i>
      <x v="19"/>
    </i>
    <i r="1">
      <x/>
    </i>
    <i r="2">
      <x v="2"/>
    </i>
    <i r="1">
      <x v="3"/>
    </i>
    <i r="2">
      <x v="1"/>
    </i>
    <i>
      <x v="20"/>
    </i>
    <i r="1">
      <x/>
    </i>
    <i r="2">
      <x v="1"/>
    </i>
    <i r="1">
      <x v="2"/>
    </i>
    <i r="2">
      <x v="1"/>
    </i>
    <i>
      <x v="21"/>
    </i>
    <i r="1">
      <x/>
    </i>
    <i r="2">
      <x v="2"/>
    </i>
    <i r="1">
      <x v="3"/>
    </i>
    <i r="2">
      <x v="1"/>
    </i>
    <i>
      <x v="22"/>
    </i>
    <i r="1">
      <x v="1"/>
    </i>
    <i r="2">
      <x v="2"/>
    </i>
    <i r="1">
      <x v="2"/>
    </i>
    <i r="2">
      <x/>
    </i>
    <i r="1">
      <x v="3"/>
    </i>
    <i r="2">
      <x/>
    </i>
    <i>
      <x v="23"/>
    </i>
    <i r="1">
      <x/>
    </i>
    <i r="2">
      <x v="1"/>
    </i>
    <i r="1">
      <x v="2"/>
    </i>
    <i r="2">
      <x v="1"/>
    </i>
    <i r="1">
      <x v="3"/>
    </i>
    <i r="2">
      <x v="2"/>
    </i>
    <i>
      <x v="24"/>
    </i>
    <i r="1">
      <x/>
    </i>
    <i r="2">
      <x v="2"/>
    </i>
    <i r="1">
      <x v="2"/>
    </i>
    <i r="2">
      <x/>
    </i>
    <i>
      <x v="25"/>
    </i>
    <i r="1">
      <x/>
    </i>
    <i r="2">
      <x v="1"/>
    </i>
    <i>
      <x v="26"/>
    </i>
    <i r="1">
      <x v="2"/>
    </i>
    <i r="2">
      <x v="1"/>
    </i>
    <i>
      <x v="27"/>
    </i>
    <i r="1">
      <x v="1"/>
    </i>
    <i r="2">
      <x/>
    </i>
    <i r="2">
      <x v="2"/>
    </i>
    <i r="1">
      <x v="2"/>
    </i>
    <i r="2">
      <x v="1"/>
    </i>
    <i>
      <x v="28"/>
    </i>
    <i r="1">
      <x v="1"/>
    </i>
    <i r="2">
      <x v="2"/>
    </i>
    <i>
      <x v="29"/>
    </i>
    <i r="1">
      <x v="2"/>
    </i>
    <i r="2">
      <x v="1"/>
    </i>
    <i>
      <x v="30"/>
    </i>
    <i r="1">
      <x v="3"/>
    </i>
    <i r="2">
      <x/>
    </i>
    <i>
      <x v="31"/>
    </i>
    <i r="1">
      <x v="2"/>
    </i>
    <i r="2">
      <x v="2"/>
    </i>
    <i r="1">
      <x v="3"/>
    </i>
    <i r="2">
      <x v="2"/>
    </i>
    <i>
      <x v="32"/>
    </i>
    <i r="1">
      <x v="2"/>
    </i>
    <i r="2">
      <x/>
    </i>
    <i>
      <x v="33"/>
    </i>
    <i r="1">
      <x/>
    </i>
    <i r="2">
      <x/>
    </i>
    <i r="1">
      <x v="1"/>
    </i>
    <i r="2">
      <x v="2"/>
    </i>
    <i>
      <x v="34"/>
    </i>
    <i r="1">
      <x v="1"/>
    </i>
    <i r="2">
      <x v="1"/>
    </i>
    <i r="1">
      <x v="2"/>
    </i>
    <i r="2">
      <x v="2"/>
    </i>
    <i>
      <x v="35"/>
    </i>
    <i r="1">
      <x v="2"/>
    </i>
    <i r="2">
      <x v="1"/>
    </i>
    <i>
      <x v="36"/>
    </i>
    <i r="1">
      <x v="3"/>
    </i>
    <i r="2">
      <x/>
    </i>
    <i>
      <x v="37"/>
    </i>
    <i r="1">
      <x/>
    </i>
    <i r="2">
      <x v="1"/>
    </i>
    <i>
      <x v="38"/>
    </i>
    <i r="1">
      <x v="3"/>
    </i>
    <i r="2">
      <x/>
    </i>
    <i r="2">
      <x v="2"/>
    </i>
    <i>
      <x v="39"/>
    </i>
    <i r="1">
      <x/>
    </i>
    <i r="2">
      <x v="1"/>
    </i>
  </rowItems>
  <colFields count="1">
    <field x="-2"/>
  </colFields>
  <colItems count="3">
    <i>
      <x/>
    </i>
    <i i="1">
      <x v="1"/>
    </i>
    <i i="2">
      <x v="2"/>
    </i>
  </colItems>
  <dataFields count="3">
    <dataField name="Sum of Sales" fld="6" baseField="0" baseItem="0" numFmtId="165"/>
    <dataField name="Sum of Target" fld="7" baseField="0" baseItem="0" numFmtId="165"/>
    <dataField name=" Achievement %" fld="13" baseField="0" baseItem="0" numFmtId="164"/>
  </dataFields>
  <conditionalFormats count="4">
    <conditionalFormat priority="9">
      <pivotAreas count="162">
        <pivotArea type="data" collapsedLevelsAreSubtotals="1" fieldPosition="0">
          <references count="2">
            <reference field="4294967294" count="1" selected="0">
              <x v="0"/>
            </reference>
            <reference field="0" count="1">
              <x v="0"/>
            </reference>
          </references>
        </pivotArea>
        <pivotArea type="data" collapsedLevelsAreSubtotals="1" fieldPosition="0">
          <references count="3">
            <reference field="4294967294" count="1" selected="0">
              <x v="0"/>
            </reference>
            <reference field="0" count="1" selected="0">
              <x v="0"/>
            </reference>
            <reference field="3" count="1">
              <x v="1"/>
            </reference>
          </references>
        </pivotArea>
        <pivotArea type="data" collapsedLevelsAreSubtotals="1" fieldPosition="0">
          <references count="4">
            <reference field="4294967294" count="1" selected="0">
              <x v="0"/>
            </reference>
            <reference field="0" count="1" selected="0">
              <x v="0"/>
            </reference>
            <reference field="3" count="1" selected="0">
              <x v="1"/>
            </reference>
            <reference field="5" count="2">
              <x v="0"/>
              <x v="1"/>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3" count="1">
              <x v="0"/>
            </reference>
          </references>
        </pivotArea>
        <pivotArea type="data" collapsedLevelsAreSubtotals="1" fieldPosition="0">
          <references count="4">
            <reference field="4294967294" count="1" selected="0">
              <x v="0"/>
            </reference>
            <reference field="0" count="1" selected="0">
              <x v="1"/>
            </reference>
            <reference field="3" count="1" selected="0">
              <x v="0"/>
            </reference>
            <reference field="5" count="1">
              <x v="2"/>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3" count="1">
              <x v="1"/>
            </reference>
          </references>
        </pivotArea>
        <pivotArea type="data" collapsedLevelsAreSubtotals="1" fieldPosition="0">
          <references count="4">
            <reference field="4294967294" count="1" selected="0">
              <x v="0"/>
            </reference>
            <reference field="0" count="1" selected="0">
              <x v="2"/>
            </reference>
            <reference field="3" count="1" selected="0">
              <x v="1"/>
            </reference>
            <reference field="5" count="1">
              <x v="0"/>
            </reference>
          </references>
        </pivotArea>
        <pivotArea type="data" collapsedLevelsAreSubtotals="1" fieldPosition="0">
          <references count="3">
            <reference field="4294967294" count="1" selected="0">
              <x v="0"/>
            </reference>
            <reference field="0" count="1" selected="0">
              <x v="2"/>
            </reference>
            <reference field="3" count="1">
              <x v="3"/>
            </reference>
          </references>
        </pivotArea>
        <pivotArea type="data" collapsedLevelsAreSubtotals="1" fieldPosition="0">
          <references count="4">
            <reference field="4294967294" count="1" selected="0">
              <x v="0"/>
            </reference>
            <reference field="0" count="1" selected="0">
              <x v="2"/>
            </reference>
            <reference field="3" count="1" selected="0">
              <x v="3"/>
            </reference>
            <reference field="5" count="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3" count="1">
              <x v="1"/>
            </reference>
          </references>
        </pivotArea>
        <pivotArea type="data" collapsedLevelsAreSubtotals="1" fieldPosition="0">
          <references count="4">
            <reference field="4294967294" count="1" selected="0">
              <x v="0"/>
            </reference>
            <reference field="0" count="1" selected="0">
              <x v="3"/>
            </reference>
            <reference field="3" count="1" selected="0">
              <x v="1"/>
            </reference>
            <reference field="5" count="1">
              <x v="0"/>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3">
            <reference field="4294967294" count="1" selected="0">
              <x v="0"/>
            </reference>
            <reference field="0" count="1" selected="0">
              <x v="4"/>
            </reference>
            <reference field="3" count="1">
              <x v="0"/>
            </reference>
          </references>
        </pivotArea>
        <pivotArea type="data" collapsedLevelsAreSubtotals="1" fieldPosition="0">
          <references count="4">
            <reference field="4294967294" count="1" selected="0">
              <x v="0"/>
            </reference>
            <reference field="0" count="1" selected="0">
              <x v="4"/>
            </reference>
            <reference field="3" count="1" selected="0">
              <x v="0"/>
            </reference>
            <reference field="5" count="1">
              <x v="2"/>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3">
            <reference field="4294967294" count="1" selected="0">
              <x v="0"/>
            </reference>
            <reference field="0" count="1" selected="0">
              <x v="5"/>
            </reference>
            <reference field="3" count="1">
              <x v="0"/>
            </reference>
          </references>
        </pivotArea>
        <pivotArea type="data" collapsedLevelsAreSubtotals="1" fieldPosition="0">
          <references count="4">
            <reference field="4294967294" count="1" selected="0">
              <x v="0"/>
            </reference>
            <reference field="0" count="1" selected="0">
              <x v="5"/>
            </reference>
            <reference field="3" count="1" selected="0">
              <x v="0"/>
            </reference>
            <reference field="5" count="1">
              <x v="0"/>
            </reference>
          </references>
        </pivotArea>
        <pivotArea type="data" collapsedLevelsAreSubtotals="1" fieldPosition="0">
          <references count="3">
            <reference field="4294967294" count="1" selected="0">
              <x v="0"/>
            </reference>
            <reference field="0" count="1" selected="0">
              <x v="5"/>
            </reference>
            <reference field="3" count="1">
              <x v="1"/>
            </reference>
          </references>
        </pivotArea>
        <pivotArea type="data" collapsedLevelsAreSubtotals="1" fieldPosition="0">
          <references count="4">
            <reference field="4294967294" count="1" selected="0">
              <x v="0"/>
            </reference>
            <reference field="0" count="1" selected="0">
              <x v="5"/>
            </reference>
            <reference field="3" count="1" selected="0">
              <x v="1"/>
            </reference>
            <reference field="5" count="1">
              <x v="2"/>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3">
            <reference field="4294967294" count="1" selected="0">
              <x v="0"/>
            </reference>
            <reference field="0" count="1" selected="0">
              <x v="6"/>
            </reference>
            <reference field="3" count="1">
              <x v="0"/>
            </reference>
          </references>
        </pivotArea>
        <pivotArea type="data" collapsedLevelsAreSubtotals="1" fieldPosition="0">
          <references count="4">
            <reference field="4294967294" count="1" selected="0">
              <x v="0"/>
            </reference>
            <reference field="0" count="1" selected="0">
              <x v="6"/>
            </reference>
            <reference field="3" count="1" selected="0">
              <x v="0"/>
            </reference>
            <reference field="5" count="1">
              <x v="0"/>
            </reference>
          </references>
        </pivotArea>
        <pivotArea type="data" collapsedLevelsAreSubtotals="1" fieldPosition="0">
          <references count="3">
            <reference field="4294967294" count="1" selected="0">
              <x v="0"/>
            </reference>
            <reference field="0" count="1" selected="0">
              <x v="6"/>
            </reference>
            <reference field="3" count="1">
              <x v="3"/>
            </reference>
          </references>
        </pivotArea>
        <pivotArea type="data" collapsedLevelsAreSubtotals="1" fieldPosition="0">
          <references count="4">
            <reference field="4294967294" count="1" selected="0">
              <x v="0"/>
            </reference>
            <reference field="0" count="1" selected="0">
              <x v="6"/>
            </reference>
            <reference field="3" count="1" selected="0">
              <x v="3"/>
            </reference>
            <reference field="5" count="1">
              <x v="0"/>
            </reference>
          </references>
        </pivotArea>
        <pivotArea type="data" collapsedLevelsAreSubtotals="1" fieldPosition="0">
          <references count="2">
            <reference field="4294967294" count="1" selected="0">
              <x v="0"/>
            </reference>
            <reference field="0" count="1">
              <x v="7"/>
            </reference>
          </references>
        </pivotArea>
        <pivotArea type="data" collapsedLevelsAreSubtotals="1" fieldPosition="0">
          <references count="3">
            <reference field="4294967294" count="1" selected="0">
              <x v="0"/>
            </reference>
            <reference field="0" count="1" selected="0">
              <x v="7"/>
            </reference>
            <reference field="3" count="1">
              <x v="3"/>
            </reference>
          </references>
        </pivotArea>
        <pivotArea type="data" collapsedLevelsAreSubtotals="1" fieldPosition="0">
          <references count="4">
            <reference field="4294967294" count="1" selected="0">
              <x v="0"/>
            </reference>
            <reference field="0" count="1" selected="0">
              <x v="7"/>
            </reference>
            <reference field="3" count="1" selected="0">
              <x v="3"/>
            </reference>
            <reference field="5" count="1">
              <x v="0"/>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3">
            <reference field="4294967294" count="1" selected="0">
              <x v="0"/>
            </reference>
            <reference field="0" count="1" selected="0">
              <x v="8"/>
            </reference>
            <reference field="3" count="1">
              <x v="3"/>
            </reference>
          </references>
        </pivotArea>
        <pivotArea type="data" collapsedLevelsAreSubtotals="1" fieldPosition="0">
          <references count="4">
            <reference field="4294967294" count="1" selected="0">
              <x v="0"/>
            </reference>
            <reference field="0" count="1" selected="0">
              <x v="8"/>
            </reference>
            <reference field="3" count="1" selected="0">
              <x v="3"/>
            </reference>
            <reference field="5" count="1">
              <x v="1"/>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3">
            <reference field="4294967294" count="1" selected="0">
              <x v="0"/>
            </reference>
            <reference field="0" count="1" selected="0">
              <x v="9"/>
            </reference>
            <reference field="3" count="1">
              <x v="0"/>
            </reference>
          </references>
        </pivotArea>
        <pivotArea type="data" collapsedLevelsAreSubtotals="1" fieldPosition="0">
          <references count="4">
            <reference field="4294967294" count="1" selected="0">
              <x v="0"/>
            </reference>
            <reference field="0" count="1" selected="0">
              <x v="9"/>
            </reference>
            <reference field="3" count="1" selected="0">
              <x v="0"/>
            </reference>
            <reference field="5" count="1">
              <x v="2"/>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3">
            <reference field="4294967294" count="1" selected="0">
              <x v="0"/>
            </reference>
            <reference field="0" count="1" selected="0">
              <x v="10"/>
            </reference>
            <reference field="3" count="1">
              <x v="2"/>
            </reference>
          </references>
        </pivotArea>
        <pivotArea type="data" collapsedLevelsAreSubtotals="1" fieldPosition="0">
          <references count="4">
            <reference field="4294967294" count="1" selected="0">
              <x v="0"/>
            </reference>
            <reference field="0" count="1" selected="0">
              <x v="10"/>
            </reference>
            <reference field="3" count="1" selected="0">
              <x v="2"/>
            </reference>
            <reference field="5" count="1">
              <x v="1"/>
            </reference>
          </references>
        </pivotArea>
        <pivotArea type="data" collapsedLevelsAreSubtotals="1" fieldPosition="0">
          <references count="3">
            <reference field="4294967294" count="1" selected="0">
              <x v="0"/>
            </reference>
            <reference field="0" count="1" selected="0">
              <x v="10"/>
            </reference>
            <reference field="3" count="1">
              <x v="3"/>
            </reference>
          </references>
        </pivotArea>
        <pivotArea type="data" collapsedLevelsAreSubtotals="1" fieldPosition="0">
          <references count="4">
            <reference field="4294967294" count="1" selected="0">
              <x v="0"/>
            </reference>
            <reference field="0" count="1" selected="0">
              <x v="10"/>
            </reference>
            <reference field="3" count="1" selected="0">
              <x v="3"/>
            </reference>
            <reference field="5" count="1">
              <x v="2"/>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3">
            <reference field="4294967294" count="1" selected="0">
              <x v="0"/>
            </reference>
            <reference field="0" count="1" selected="0">
              <x v="11"/>
            </reference>
            <reference field="3" count="1">
              <x v="2"/>
            </reference>
          </references>
        </pivotArea>
        <pivotArea type="data" collapsedLevelsAreSubtotals="1" fieldPosition="0">
          <references count="4">
            <reference field="4294967294" count="1" selected="0">
              <x v="0"/>
            </reference>
            <reference field="0" count="1" selected="0">
              <x v="11"/>
            </reference>
            <reference field="3" count="1" selected="0">
              <x v="2"/>
            </reference>
            <reference field="5" count="1">
              <x v="1"/>
            </reference>
          </references>
        </pivotArea>
        <pivotArea type="data" collapsedLevelsAreSubtotals="1" fieldPosition="0">
          <references count="2">
            <reference field="4294967294" count="1" selected="0">
              <x v="0"/>
            </reference>
            <reference field="0" count="1">
              <x v="12"/>
            </reference>
          </references>
        </pivotArea>
        <pivotArea type="data" collapsedLevelsAreSubtotals="1" fieldPosition="0">
          <references count="3">
            <reference field="4294967294" count="1" selected="0">
              <x v="0"/>
            </reference>
            <reference field="0" count="1" selected="0">
              <x v="12"/>
            </reference>
            <reference field="3" count="1">
              <x v="3"/>
            </reference>
          </references>
        </pivotArea>
        <pivotArea type="data" collapsedLevelsAreSubtotals="1" fieldPosition="0">
          <references count="4">
            <reference field="4294967294" count="1" selected="0">
              <x v="0"/>
            </reference>
            <reference field="0" count="1" selected="0">
              <x v="12"/>
            </reference>
            <reference field="3" count="1" selected="0">
              <x v="3"/>
            </reference>
            <reference field="5" count="1">
              <x v="1"/>
            </reference>
          </references>
        </pivotArea>
        <pivotArea type="data" collapsedLevelsAreSubtotals="1" fieldPosition="0">
          <references count="2">
            <reference field="4294967294" count="1" selected="0">
              <x v="0"/>
            </reference>
            <reference field="0" count="1">
              <x v="13"/>
            </reference>
          </references>
        </pivotArea>
        <pivotArea type="data" collapsedLevelsAreSubtotals="1" fieldPosition="0">
          <references count="3">
            <reference field="4294967294" count="1" selected="0">
              <x v="0"/>
            </reference>
            <reference field="0" count="1" selected="0">
              <x v="13"/>
            </reference>
            <reference field="3" count="1">
              <x v="0"/>
            </reference>
          </references>
        </pivotArea>
        <pivotArea type="data" collapsedLevelsAreSubtotals="1" fieldPosition="0">
          <references count="4">
            <reference field="4294967294" count="1" selected="0">
              <x v="0"/>
            </reference>
            <reference field="0" count="1" selected="0">
              <x v="13"/>
            </reference>
            <reference field="3" count="1" selected="0">
              <x v="0"/>
            </reference>
            <reference field="5" count="1">
              <x v="0"/>
            </reference>
          </references>
        </pivotArea>
        <pivotArea type="data" collapsedLevelsAreSubtotals="1" fieldPosition="0">
          <references count="2">
            <reference field="4294967294" count="1" selected="0">
              <x v="0"/>
            </reference>
            <reference field="0" count="1">
              <x v="14"/>
            </reference>
          </references>
        </pivotArea>
        <pivotArea type="data" collapsedLevelsAreSubtotals="1" fieldPosition="0">
          <references count="3">
            <reference field="4294967294" count="1" selected="0">
              <x v="0"/>
            </reference>
            <reference field="0" count="1" selected="0">
              <x v="14"/>
            </reference>
            <reference field="3" count="1">
              <x v="0"/>
            </reference>
          </references>
        </pivotArea>
        <pivotArea type="data" collapsedLevelsAreSubtotals="1" fieldPosition="0">
          <references count="4">
            <reference field="4294967294" count="1" selected="0">
              <x v="0"/>
            </reference>
            <reference field="0" count="1" selected="0">
              <x v="14"/>
            </reference>
            <reference field="3" count="1" selected="0">
              <x v="0"/>
            </reference>
            <reference field="5" count="1">
              <x v="2"/>
            </reference>
          </references>
        </pivotArea>
        <pivotArea type="data" collapsedLevelsAreSubtotals="1" fieldPosition="0">
          <references count="3">
            <reference field="4294967294" count="1" selected="0">
              <x v="0"/>
            </reference>
            <reference field="0" count="1" selected="0">
              <x v="14"/>
            </reference>
            <reference field="3" count="1">
              <x v="2"/>
            </reference>
          </references>
        </pivotArea>
        <pivotArea type="data" collapsedLevelsAreSubtotals="1" fieldPosition="0">
          <references count="4">
            <reference field="4294967294" count="1" selected="0">
              <x v="0"/>
            </reference>
            <reference field="0" count="1" selected="0">
              <x v="14"/>
            </reference>
            <reference field="3" count="1" selected="0">
              <x v="2"/>
            </reference>
            <reference field="5" count="1">
              <x v="0"/>
            </reference>
          </references>
        </pivotArea>
        <pivotArea type="data" collapsedLevelsAreSubtotals="1" fieldPosition="0">
          <references count="3">
            <reference field="4294967294" count="1" selected="0">
              <x v="0"/>
            </reference>
            <reference field="0" count="1" selected="0">
              <x v="14"/>
            </reference>
            <reference field="3" count="1">
              <x v="3"/>
            </reference>
          </references>
        </pivotArea>
        <pivotArea type="data" collapsedLevelsAreSubtotals="1" fieldPosition="0">
          <references count="4">
            <reference field="4294967294" count="1" selected="0">
              <x v="0"/>
            </reference>
            <reference field="0" count="1" selected="0">
              <x v="14"/>
            </reference>
            <reference field="3" count="1" selected="0">
              <x v="3"/>
            </reference>
            <reference field="5" count="1">
              <x v="2"/>
            </reference>
          </references>
        </pivotArea>
        <pivotArea type="data" collapsedLevelsAreSubtotals="1" fieldPosition="0">
          <references count="2">
            <reference field="4294967294" count="1" selected="0">
              <x v="0"/>
            </reference>
            <reference field="0" count="1">
              <x v="15"/>
            </reference>
          </references>
        </pivotArea>
        <pivotArea type="data" collapsedLevelsAreSubtotals="1" fieldPosition="0">
          <references count="3">
            <reference field="4294967294" count="1" selected="0">
              <x v="0"/>
            </reference>
            <reference field="0" count="1" selected="0">
              <x v="15"/>
            </reference>
            <reference field="3" count="1">
              <x v="0"/>
            </reference>
          </references>
        </pivotArea>
        <pivotArea type="data" collapsedLevelsAreSubtotals="1" fieldPosition="0">
          <references count="4">
            <reference field="4294967294" count="1" selected="0">
              <x v="0"/>
            </reference>
            <reference field="0" count="1" selected="0">
              <x v="15"/>
            </reference>
            <reference field="3" count="1" selected="0">
              <x v="0"/>
            </reference>
            <reference field="5" count="1">
              <x v="1"/>
            </reference>
          </references>
        </pivotArea>
        <pivotArea type="data" collapsedLevelsAreSubtotals="1" fieldPosition="0">
          <references count="3">
            <reference field="4294967294" count="1" selected="0">
              <x v="0"/>
            </reference>
            <reference field="0" count="1" selected="0">
              <x v="15"/>
            </reference>
            <reference field="3" count="1">
              <x v="1"/>
            </reference>
          </references>
        </pivotArea>
        <pivotArea type="data" collapsedLevelsAreSubtotals="1" fieldPosition="0">
          <references count="4">
            <reference field="4294967294" count="1" selected="0">
              <x v="0"/>
            </reference>
            <reference field="0" count="1" selected="0">
              <x v="15"/>
            </reference>
            <reference field="3" count="1" selected="0">
              <x v="1"/>
            </reference>
            <reference field="5" count="1">
              <x v="2"/>
            </reference>
          </references>
        </pivotArea>
        <pivotArea type="data" collapsedLevelsAreSubtotals="1" fieldPosition="0">
          <references count="3">
            <reference field="4294967294" count="1" selected="0">
              <x v="0"/>
            </reference>
            <reference field="0" count="1" selected="0">
              <x v="15"/>
            </reference>
            <reference field="3" count="1">
              <x v="2"/>
            </reference>
          </references>
        </pivotArea>
        <pivotArea type="data" collapsedLevelsAreSubtotals="1" fieldPosition="0">
          <references count="4">
            <reference field="4294967294" count="1" selected="0">
              <x v="0"/>
            </reference>
            <reference field="0" count="1" selected="0">
              <x v="15"/>
            </reference>
            <reference field="3" count="1" selected="0">
              <x v="2"/>
            </reference>
            <reference field="5" count="1">
              <x v="0"/>
            </reference>
          </references>
        </pivotArea>
        <pivotArea type="data" collapsedLevelsAreSubtotals="1" fieldPosition="0">
          <references count="2">
            <reference field="4294967294" count="1" selected="0">
              <x v="0"/>
            </reference>
            <reference field="0" count="1">
              <x v="16"/>
            </reference>
          </references>
        </pivotArea>
        <pivotArea type="data" collapsedLevelsAreSubtotals="1" fieldPosition="0">
          <references count="3">
            <reference field="4294967294" count="1" selected="0">
              <x v="0"/>
            </reference>
            <reference field="0" count="1" selected="0">
              <x v="16"/>
            </reference>
            <reference field="3" count="1">
              <x v="0"/>
            </reference>
          </references>
        </pivotArea>
        <pivotArea type="data" collapsedLevelsAreSubtotals="1" fieldPosition="0">
          <references count="4">
            <reference field="4294967294" count="1" selected="0">
              <x v="0"/>
            </reference>
            <reference field="0" count="1" selected="0">
              <x v="16"/>
            </reference>
            <reference field="3" count="1" selected="0">
              <x v="0"/>
            </reference>
            <reference field="5" count="1">
              <x v="0"/>
            </reference>
          </references>
        </pivotArea>
        <pivotArea type="data" collapsedLevelsAreSubtotals="1" fieldPosition="0">
          <references count="3">
            <reference field="4294967294" count="1" selected="0">
              <x v="0"/>
            </reference>
            <reference field="0" count="1" selected="0">
              <x v="16"/>
            </reference>
            <reference field="3" count="1">
              <x v="3"/>
            </reference>
          </references>
        </pivotArea>
        <pivotArea type="data" collapsedLevelsAreSubtotals="1" fieldPosition="0">
          <references count="4">
            <reference field="4294967294" count="1" selected="0">
              <x v="0"/>
            </reference>
            <reference field="0" count="1" selected="0">
              <x v="16"/>
            </reference>
            <reference field="3" count="1" selected="0">
              <x v="3"/>
            </reference>
            <reference field="5" count="2">
              <x v="1"/>
              <x v="2"/>
            </reference>
          </references>
        </pivotArea>
        <pivotArea type="data" collapsedLevelsAreSubtotals="1" fieldPosition="0">
          <references count="2">
            <reference field="4294967294" count="1" selected="0">
              <x v="0"/>
            </reference>
            <reference field="0" count="1">
              <x v="17"/>
            </reference>
          </references>
        </pivotArea>
        <pivotArea type="data" collapsedLevelsAreSubtotals="1" fieldPosition="0">
          <references count="3">
            <reference field="4294967294" count="1" selected="0">
              <x v="0"/>
            </reference>
            <reference field="0" count="1" selected="0">
              <x v="17"/>
            </reference>
            <reference field="3" count="1">
              <x v="0"/>
            </reference>
          </references>
        </pivotArea>
        <pivotArea type="data" collapsedLevelsAreSubtotals="1" fieldPosition="0">
          <references count="4">
            <reference field="4294967294" count="1" selected="0">
              <x v="0"/>
            </reference>
            <reference field="0" count="1" selected="0">
              <x v="17"/>
            </reference>
            <reference field="3" count="1" selected="0">
              <x v="0"/>
            </reference>
            <reference field="5" count="2">
              <x v="0"/>
              <x v="2"/>
            </reference>
          </references>
        </pivotArea>
        <pivotArea type="data" collapsedLevelsAreSubtotals="1" fieldPosition="0">
          <references count="2">
            <reference field="4294967294" count="1" selected="0">
              <x v="0"/>
            </reference>
            <reference field="0" count="1">
              <x v="18"/>
            </reference>
          </references>
        </pivotArea>
        <pivotArea type="data" collapsedLevelsAreSubtotals="1" fieldPosition="0">
          <references count="3">
            <reference field="4294967294" count="1" selected="0">
              <x v="0"/>
            </reference>
            <reference field="0" count="1" selected="0">
              <x v="18"/>
            </reference>
            <reference field="3" count="1">
              <x v="3"/>
            </reference>
          </references>
        </pivotArea>
        <pivotArea type="data" collapsedLevelsAreSubtotals="1" fieldPosition="0">
          <references count="4">
            <reference field="4294967294" count="1" selected="0">
              <x v="0"/>
            </reference>
            <reference field="0" count="1" selected="0">
              <x v="18"/>
            </reference>
            <reference field="3" count="1" selected="0">
              <x v="3"/>
            </reference>
            <reference field="5" count="2">
              <x v="0"/>
              <x v="1"/>
            </reference>
          </references>
        </pivotArea>
        <pivotArea type="data" collapsedLevelsAreSubtotals="1" fieldPosition="0">
          <references count="2">
            <reference field="4294967294" count="1" selected="0">
              <x v="0"/>
            </reference>
            <reference field="0" count="1">
              <x v="19"/>
            </reference>
          </references>
        </pivotArea>
        <pivotArea type="data" collapsedLevelsAreSubtotals="1" fieldPosition="0">
          <references count="3">
            <reference field="4294967294" count="1" selected="0">
              <x v="0"/>
            </reference>
            <reference field="0" count="1" selected="0">
              <x v="19"/>
            </reference>
            <reference field="3" count="1">
              <x v="0"/>
            </reference>
          </references>
        </pivotArea>
        <pivotArea type="data" collapsedLevelsAreSubtotals="1" fieldPosition="0">
          <references count="4">
            <reference field="4294967294" count="1" selected="0">
              <x v="0"/>
            </reference>
            <reference field="0" count="1" selected="0">
              <x v="19"/>
            </reference>
            <reference field="3" count="1" selected="0">
              <x v="0"/>
            </reference>
            <reference field="5" count="1">
              <x v="2"/>
            </reference>
          </references>
        </pivotArea>
        <pivotArea type="data" collapsedLevelsAreSubtotals="1" fieldPosition="0">
          <references count="3">
            <reference field="4294967294" count="1" selected="0">
              <x v="0"/>
            </reference>
            <reference field="0" count="1" selected="0">
              <x v="19"/>
            </reference>
            <reference field="3" count="1">
              <x v="3"/>
            </reference>
          </references>
        </pivotArea>
        <pivotArea type="data" collapsedLevelsAreSubtotals="1" fieldPosition="0">
          <references count="4">
            <reference field="4294967294" count="1" selected="0">
              <x v="0"/>
            </reference>
            <reference field="0" count="1" selected="0">
              <x v="19"/>
            </reference>
            <reference field="3" count="1" selected="0">
              <x v="3"/>
            </reference>
            <reference field="5" count="1">
              <x v="1"/>
            </reference>
          </references>
        </pivotArea>
        <pivotArea type="data" collapsedLevelsAreSubtotals="1" fieldPosition="0">
          <references count="2">
            <reference field="4294967294" count="1" selected="0">
              <x v="0"/>
            </reference>
            <reference field="0" count="1">
              <x v="20"/>
            </reference>
          </references>
        </pivotArea>
        <pivotArea type="data" collapsedLevelsAreSubtotals="1" fieldPosition="0">
          <references count="3">
            <reference field="4294967294" count="1" selected="0">
              <x v="0"/>
            </reference>
            <reference field="0" count="1" selected="0">
              <x v="20"/>
            </reference>
            <reference field="3" count="1">
              <x v="0"/>
            </reference>
          </references>
        </pivotArea>
        <pivotArea type="data" collapsedLevelsAreSubtotals="1" fieldPosition="0">
          <references count="4">
            <reference field="4294967294" count="1" selected="0">
              <x v="0"/>
            </reference>
            <reference field="0" count="1" selected="0">
              <x v="20"/>
            </reference>
            <reference field="3" count="1" selected="0">
              <x v="0"/>
            </reference>
            <reference field="5" count="1">
              <x v="1"/>
            </reference>
          </references>
        </pivotArea>
        <pivotArea type="data" collapsedLevelsAreSubtotals="1" fieldPosition="0">
          <references count="3">
            <reference field="4294967294" count="1" selected="0">
              <x v="0"/>
            </reference>
            <reference field="0" count="1" selected="0">
              <x v="20"/>
            </reference>
            <reference field="3" count="1">
              <x v="2"/>
            </reference>
          </references>
        </pivotArea>
        <pivotArea type="data" collapsedLevelsAreSubtotals="1" fieldPosition="0">
          <references count="4">
            <reference field="4294967294" count="1" selected="0">
              <x v="0"/>
            </reference>
            <reference field="0" count="1" selected="0">
              <x v="20"/>
            </reference>
            <reference field="3" count="1" selected="0">
              <x v="2"/>
            </reference>
            <reference field="5" count="1">
              <x v="1"/>
            </reference>
          </references>
        </pivotArea>
        <pivotArea type="data" collapsedLevelsAreSubtotals="1" fieldPosition="0">
          <references count="2">
            <reference field="4294967294" count="1" selected="0">
              <x v="0"/>
            </reference>
            <reference field="0" count="1">
              <x v="21"/>
            </reference>
          </references>
        </pivotArea>
        <pivotArea type="data" collapsedLevelsAreSubtotals="1" fieldPosition="0">
          <references count="3">
            <reference field="4294967294" count="1" selected="0">
              <x v="0"/>
            </reference>
            <reference field="0" count="1" selected="0">
              <x v="21"/>
            </reference>
            <reference field="3" count="1">
              <x v="0"/>
            </reference>
          </references>
        </pivotArea>
        <pivotArea type="data" collapsedLevelsAreSubtotals="1" fieldPosition="0">
          <references count="4">
            <reference field="4294967294" count="1" selected="0">
              <x v="0"/>
            </reference>
            <reference field="0" count="1" selected="0">
              <x v="21"/>
            </reference>
            <reference field="3" count="1" selected="0">
              <x v="0"/>
            </reference>
            <reference field="5" count="1">
              <x v="2"/>
            </reference>
          </references>
        </pivotArea>
        <pivotArea type="data" collapsedLevelsAreSubtotals="1" fieldPosition="0">
          <references count="3">
            <reference field="4294967294" count="1" selected="0">
              <x v="0"/>
            </reference>
            <reference field="0" count="1" selected="0">
              <x v="21"/>
            </reference>
            <reference field="3" count="1">
              <x v="3"/>
            </reference>
          </references>
        </pivotArea>
        <pivotArea type="data" collapsedLevelsAreSubtotals="1" fieldPosition="0">
          <references count="4">
            <reference field="4294967294" count="1" selected="0">
              <x v="0"/>
            </reference>
            <reference field="0" count="1" selected="0">
              <x v="21"/>
            </reference>
            <reference field="3" count="1" selected="0">
              <x v="3"/>
            </reference>
            <reference field="5" count="1">
              <x v="1"/>
            </reference>
          </references>
        </pivotArea>
        <pivotArea type="data" collapsedLevelsAreSubtotals="1" fieldPosition="0">
          <references count="2">
            <reference field="4294967294" count="1" selected="0">
              <x v="0"/>
            </reference>
            <reference field="0" count="1">
              <x v="22"/>
            </reference>
          </references>
        </pivotArea>
        <pivotArea type="data" collapsedLevelsAreSubtotals="1" fieldPosition="0">
          <references count="3">
            <reference field="4294967294" count="1" selected="0">
              <x v="0"/>
            </reference>
            <reference field="0" count="1" selected="0">
              <x v="22"/>
            </reference>
            <reference field="3" count="1">
              <x v="1"/>
            </reference>
          </references>
        </pivotArea>
        <pivotArea type="data" collapsedLevelsAreSubtotals="1" fieldPosition="0">
          <references count="4">
            <reference field="4294967294" count="1" selected="0">
              <x v="0"/>
            </reference>
            <reference field="0" count="1" selected="0">
              <x v="22"/>
            </reference>
            <reference field="3" count="1" selected="0">
              <x v="1"/>
            </reference>
            <reference field="5" count="1">
              <x v="2"/>
            </reference>
          </references>
        </pivotArea>
        <pivotArea type="data" collapsedLevelsAreSubtotals="1" fieldPosition="0">
          <references count="3">
            <reference field="4294967294" count="1" selected="0">
              <x v="0"/>
            </reference>
            <reference field="0" count="1" selected="0">
              <x v="22"/>
            </reference>
            <reference field="3" count="1">
              <x v="2"/>
            </reference>
          </references>
        </pivotArea>
        <pivotArea type="data" collapsedLevelsAreSubtotals="1" fieldPosition="0">
          <references count="4">
            <reference field="4294967294" count="1" selected="0">
              <x v="0"/>
            </reference>
            <reference field="0" count="1" selected="0">
              <x v="22"/>
            </reference>
            <reference field="3" count="1" selected="0">
              <x v="2"/>
            </reference>
            <reference field="5" count="1">
              <x v="0"/>
            </reference>
          </references>
        </pivotArea>
        <pivotArea type="data" collapsedLevelsAreSubtotals="1" fieldPosition="0">
          <references count="3">
            <reference field="4294967294" count="1" selected="0">
              <x v="0"/>
            </reference>
            <reference field="0" count="1" selected="0">
              <x v="22"/>
            </reference>
            <reference field="3" count="1">
              <x v="3"/>
            </reference>
          </references>
        </pivotArea>
        <pivotArea type="data" collapsedLevelsAreSubtotals="1" fieldPosition="0">
          <references count="4">
            <reference field="4294967294" count="1" selected="0">
              <x v="0"/>
            </reference>
            <reference field="0" count="1" selected="0">
              <x v="22"/>
            </reference>
            <reference field="3" count="1" selected="0">
              <x v="3"/>
            </reference>
            <reference field="5" count="1">
              <x v="0"/>
            </reference>
          </references>
        </pivotArea>
        <pivotArea type="data" collapsedLevelsAreSubtotals="1" fieldPosition="0">
          <references count="2">
            <reference field="4294967294" count="1" selected="0">
              <x v="0"/>
            </reference>
            <reference field="0" count="1">
              <x v="23"/>
            </reference>
          </references>
        </pivotArea>
        <pivotArea type="data" collapsedLevelsAreSubtotals="1" fieldPosition="0">
          <references count="3">
            <reference field="4294967294" count="1" selected="0">
              <x v="0"/>
            </reference>
            <reference field="0" count="1" selected="0">
              <x v="23"/>
            </reference>
            <reference field="3" count="1">
              <x v="0"/>
            </reference>
          </references>
        </pivotArea>
        <pivotArea type="data" collapsedLevelsAreSubtotals="1" fieldPosition="0">
          <references count="4">
            <reference field="4294967294" count="1" selected="0">
              <x v="0"/>
            </reference>
            <reference field="0" count="1" selected="0">
              <x v="23"/>
            </reference>
            <reference field="3" count="1" selected="0">
              <x v="0"/>
            </reference>
            <reference field="5" count="1">
              <x v="1"/>
            </reference>
          </references>
        </pivotArea>
        <pivotArea type="data" collapsedLevelsAreSubtotals="1" fieldPosition="0">
          <references count="3">
            <reference field="4294967294" count="1" selected="0">
              <x v="0"/>
            </reference>
            <reference field="0" count="1" selected="0">
              <x v="23"/>
            </reference>
            <reference field="3" count="1">
              <x v="2"/>
            </reference>
          </references>
        </pivotArea>
        <pivotArea type="data" collapsedLevelsAreSubtotals="1" fieldPosition="0">
          <references count="4">
            <reference field="4294967294" count="1" selected="0">
              <x v="0"/>
            </reference>
            <reference field="0" count="1" selected="0">
              <x v="23"/>
            </reference>
            <reference field="3" count="1" selected="0">
              <x v="2"/>
            </reference>
            <reference field="5" count="1">
              <x v="1"/>
            </reference>
          </references>
        </pivotArea>
        <pivotArea type="data" collapsedLevelsAreSubtotals="1" fieldPosition="0">
          <references count="3">
            <reference field="4294967294" count="1" selected="0">
              <x v="0"/>
            </reference>
            <reference field="0" count="1" selected="0">
              <x v="23"/>
            </reference>
            <reference field="3" count="1">
              <x v="3"/>
            </reference>
          </references>
        </pivotArea>
        <pivotArea type="data" collapsedLevelsAreSubtotals="1" fieldPosition="0">
          <references count="4">
            <reference field="4294967294" count="1" selected="0">
              <x v="0"/>
            </reference>
            <reference field="0" count="1" selected="0">
              <x v="23"/>
            </reference>
            <reference field="3" count="1" selected="0">
              <x v="3"/>
            </reference>
            <reference field="5" count="1">
              <x v="2"/>
            </reference>
          </references>
        </pivotArea>
        <pivotArea type="data" collapsedLevelsAreSubtotals="1" fieldPosition="0">
          <references count="2">
            <reference field="4294967294" count="1" selected="0">
              <x v="0"/>
            </reference>
            <reference field="0" count="1">
              <x v="24"/>
            </reference>
          </references>
        </pivotArea>
        <pivotArea type="data" collapsedLevelsAreSubtotals="1" fieldPosition="0">
          <references count="3">
            <reference field="4294967294" count="1" selected="0">
              <x v="0"/>
            </reference>
            <reference field="0" count="1" selected="0">
              <x v="24"/>
            </reference>
            <reference field="3" count="1">
              <x v="0"/>
            </reference>
          </references>
        </pivotArea>
        <pivotArea type="data" collapsedLevelsAreSubtotals="1" fieldPosition="0">
          <references count="4">
            <reference field="4294967294" count="1" selected="0">
              <x v="0"/>
            </reference>
            <reference field="0" count="1" selected="0">
              <x v="24"/>
            </reference>
            <reference field="3" count="1" selected="0">
              <x v="0"/>
            </reference>
            <reference field="5" count="1">
              <x v="2"/>
            </reference>
          </references>
        </pivotArea>
        <pivotArea type="data" collapsedLevelsAreSubtotals="1" fieldPosition="0">
          <references count="3">
            <reference field="4294967294" count="1" selected="0">
              <x v="0"/>
            </reference>
            <reference field="0" count="1" selected="0">
              <x v="24"/>
            </reference>
            <reference field="3" count="1">
              <x v="2"/>
            </reference>
          </references>
        </pivotArea>
        <pivotArea type="data" collapsedLevelsAreSubtotals="1" fieldPosition="0">
          <references count="4">
            <reference field="4294967294" count="1" selected="0">
              <x v="0"/>
            </reference>
            <reference field="0" count="1" selected="0">
              <x v="24"/>
            </reference>
            <reference field="3" count="1" selected="0">
              <x v="2"/>
            </reference>
            <reference field="5" count="1">
              <x v="0"/>
            </reference>
          </references>
        </pivotArea>
        <pivotArea type="data" collapsedLevelsAreSubtotals="1" fieldPosition="0">
          <references count="2">
            <reference field="4294967294" count="1" selected="0">
              <x v="0"/>
            </reference>
            <reference field="0" count="1">
              <x v="25"/>
            </reference>
          </references>
        </pivotArea>
        <pivotArea type="data" collapsedLevelsAreSubtotals="1" fieldPosition="0">
          <references count="3">
            <reference field="4294967294" count="1" selected="0">
              <x v="0"/>
            </reference>
            <reference field="0" count="1" selected="0">
              <x v="25"/>
            </reference>
            <reference field="3" count="1">
              <x v="0"/>
            </reference>
          </references>
        </pivotArea>
        <pivotArea type="data" collapsedLevelsAreSubtotals="1" fieldPosition="0">
          <references count="4">
            <reference field="4294967294" count="1" selected="0">
              <x v="0"/>
            </reference>
            <reference field="0" count="1" selected="0">
              <x v="25"/>
            </reference>
            <reference field="3" count="1" selected="0">
              <x v="0"/>
            </reference>
            <reference field="5" count="1">
              <x v="1"/>
            </reference>
          </references>
        </pivotArea>
        <pivotArea type="data" collapsedLevelsAreSubtotals="1" fieldPosition="0">
          <references count="2">
            <reference field="4294967294" count="1" selected="0">
              <x v="0"/>
            </reference>
            <reference field="0" count="1">
              <x v="26"/>
            </reference>
          </references>
        </pivotArea>
        <pivotArea type="data" collapsedLevelsAreSubtotals="1" fieldPosition="0">
          <references count="3">
            <reference field="4294967294" count="1" selected="0">
              <x v="0"/>
            </reference>
            <reference field="0" count="1" selected="0">
              <x v="26"/>
            </reference>
            <reference field="3" count="1">
              <x v="2"/>
            </reference>
          </references>
        </pivotArea>
        <pivotArea type="data" collapsedLevelsAreSubtotals="1" fieldPosition="0">
          <references count="4">
            <reference field="4294967294" count="1" selected="0">
              <x v="0"/>
            </reference>
            <reference field="0" count="1" selected="0">
              <x v="26"/>
            </reference>
            <reference field="3" count="1" selected="0">
              <x v="2"/>
            </reference>
            <reference field="5" count="1">
              <x v="1"/>
            </reference>
          </references>
        </pivotArea>
        <pivotArea type="data" collapsedLevelsAreSubtotals="1" fieldPosition="0">
          <references count="2">
            <reference field="4294967294" count="1" selected="0">
              <x v="0"/>
            </reference>
            <reference field="0" count="1">
              <x v="27"/>
            </reference>
          </references>
        </pivotArea>
        <pivotArea type="data" collapsedLevelsAreSubtotals="1" fieldPosition="0">
          <references count="3">
            <reference field="4294967294" count="1" selected="0">
              <x v="0"/>
            </reference>
            <reference field="0" count="1" selected="0">
              <x v="27"/>
            </reference>
            <reference field="3" count="1">
              <x v="1"/>
            </reference>
          </references>
        </pivotArea>
        <pivotArea type="data" collapsedLevelsAreSubtotals="1" fieldPosition="0">
          <references count="4">
            <reference field="4294967294" count="1" selected="0">
              <x v="0"/>
            </reference>
            <reference field="0" count="1" selected="0">
              <x v="27"/>
            </reference>
            <reference field="3" count="1" selected="0">
              <x v="1"/>
            </reference>
            <reference field="5" count="2">
              <x v="0"/>
              <x v="2"/>
            </reference>
          </references>
        </pivotArea>
        <pivotArea type="data" collapsedLevelsAreSubtotals="1" fieldPosition="0">
          <references count="3">
            <reference field="4294967294" count="1" selected="0">
              <x v="0"/>
            </reference>
            <reference field="0" count="1" selected="0">
              <x v="27"/>
            </reference>
            <reference field="3" count="1">
              <x v="2"/>
            </reference>
          </references>
        </pivotArea>
        <pivotArea type="data" collapsedLevelsAreSubtotals="1" fieldPosition="0">
          <references count="4">
            <reference field="4294967294" count="1" selected="0">
              <x v="0"/>
            </reference>
            <reference field="0" count="1" selected="0">
              <x v="27"/>
            </reference>
            <reference field="3" count="1" selected="0">
              <x v="2"/>
            </reference>
            <reference field="5" count="1">
              <x v="1"/>
            </reference>
          </references>
        </pivotArea>
        <pivotArea type="data" collapsedLevelsAreSubtotals="1" fieldPosition="0">
          <references count="2">
            <reference field="4294967294" count="1" selected="0">
              <x v="0"/>
            </reference>
            <reference field="0" count="1">
              <x v="28"/>
            </reference>
          </references>
        </pivotArea>
        <pivotArea type="data" collapsedLevelsAreSubtotals="1" fieldPosition="0">
          <references count="3">
            <reference field="4294967294" count="1" selected="0">
              <x v="0"/>
            </reference>
            <reference field="0" count="1" selected="0">
              <x v="28"/>
            </reference>
            <reference field="3" count="1">
              <x v="1"/>
            </reference>
          </references>
        </pivotArea>
        <pivotArea type="data" collapsedLevelsAreSubtotals="1" fieldPosition="0">
          <references count="4">
            <reference field="4294967294" count="1" selected="0">
              <x v="0"/>
            </reference>
            <reference field="0" count="1" selected="0">
              <x v="28"/>
            </reference>
            <reference field="3" count="1" selected="0">
              <x v="1"/>
            </reference>
            <reference field="5" count="1">
              <x v="2"/>
            </reference>
          </references>
        </pivotArea>
        <pivotArea type="data" collapsedLevelsAreSubtotals="1" fieldPosition="0">
          <references count="2">
            <reference field="4294967294" count="1" selected="0">
              <x v="0"/>
            </reference>
            <reference field="0" count="1">
              <x v="29"/>
            </reference>
          </references>
        </pivotArea>
        <pivotArea type="data" collapsedLevelsAreSubtotals="1" fieldPosition="0">
          <references count="3">
            <reference field="4294967294" count="1" selected="0">
              <x v="0"/>
            </reference>
            <reference field="0" count="1" selected="0">
              <x v="29"/>
            </reference>
            <reference field="3" count="1">
              <x v="2"/>
            </reference>
          </references>
        </pivotArea>
        <pivotArea type="data" collapsedLevelsAreSubtotals="1" fieldPosition="0">
          <references count="4">
            <reference field="4294967294" count="1" selected="0">
              <x v="0"/>
            </reference>
            <reference field="0" count="1" selected="0">
              <x v="29"/>
            </reference>
            <reference field="3" count="1" selected="0">
              <x v="2"/>
            </reference>
            <reference field="5" count="1">
              <x v="1"/>
            </reference>
          </references>
        </pivotArea>
        <pivotArea type="data" collapsedLevelsAreSubtotals="1" fieldPosition="0">
          <references count="2">
            <reference field="4294967294" count="1" selected="0">
              <x v="0"/>
            </reference>
            <reference field="0" count="1">
              <x v="30"/>
            </reference>
          </references>
        </pivotArea>
        <pivotArea type="data" collapsedLevelsAreSubtotals="1" fieldPosition="0">
          <references count="3">
            <reference field="4294967294" count="1" selected="0">
              <x v="0"/>
            </reference>
            <reference field="0" count="1" selected="0">
              <x v="30"/>
            </reference>
            <reference field="3" count="1">
              <x v="3"/>
            </reference>
          </references>
        </pivotArea>
        <pivotArea type="data" collapsedLevelsAreSubtotals="1" fieldPosition="0">
          <references count="4">
            <reference field="4294967294" count="1" selected="0">
              <x v="0"/>
            </reference>
            <reference field="0" count="1" selected="0">
              <x v="30"/>
            </reference>
            <reference field="3" count="1" selected="0">
              <x v="3"/>
            </reference>
            <reference field="5" count="1">
              <x v="0"/>
            </reference>
          </references>
        </pivotArea>
        <pivotArea type="data" collapsedLevelsAreSubtotals="1" fieldPosition="0">
          <references count="2">
            <reference field="4294967294" count="1" selected="0">
              <x v="0"/>
            </reference>
            <reference field="0" count="1">
              <x v="31"/>
            </reference>
          </references>
        </pivotArea>
        <pivotArea type="data" collapsedLevelsAreSubtotals="1" fieldPosition="0">
          <references count="3">
            <reference field="4294967294" count="1" selected="0">
              <x v="0"/>
            </reference>
            <reference field="0" count="1" selected="0">
              <x v="31"/>
            </reference>
            <reference field="3" count="1">
              <x v="2"/>
            </reference>
          </references>
        </pivotArea>
        <pivotArea type="data" collapsedLevelsAreSubtotals="1" fieldPosition="0">
          <references count="4">
            <reference field="4294967294" count="1" selected="0">
              <x v="0"/>
            </reference>
            <reference field="0" count="1" selected="0">
              <x v="31"/>
            </reference>
            <reference field="3" count="1" selected="0">
              <x v="2"/>
            </reference>
            <reference field="5" count="1">
              <x v="2"/>
            </reference>
          </references>
        </pivotArea>
        <pivotArea type="data" collapsedLevelsAreSubtotals="1" fieldPosition="0">
          <references count="3">
            <reference field="4294967294" count="1" selected="0">
              <x v="0"/>
            </reference>
            <reference field="0" count="1" selected="0">
              <x v="31"/>
            </reference>
            <reference field="3" count="1">
              <x v="3"/>
            </reference>
          </references>
        </pivotArea>
        <pivotArea type="data" collapsedLevelsAreSubtotals="1" fieldPosition="0">
          <references count="4">
            <reference field="4294967294" count="1" selected="0">
              <x v="0"/>
            </reference>
            <reference field="0" count="1" selected="0">
              <x v="31"/>
            </reference>
            <reference field="3" count="1" selected="0">
              <x v="3"/>
            </reference>
            <reference field="5" count="1">
              <x v="2"/>
            </reference>
          </references>
        </pivotArea>
        <pivotArea type="data" collapsedLevelsAreSubtotals="1" fieldPosition="0">
          <references count="2">
            <reference field="4294967294" count="1" selected="0">
              <x v="0"/>
            </reference>
            <reference field="0" count="1">
              <x v="32"/>
            </reference>
          </references>
        </pivotArea>
        <pivotArea type="data" collapsedLevelsAreSubtotals="1" fieldPosition="0">
          <references count="3">
            <reference field="4294967294" count="1" selected="0">
              <x v="0"/>
            </reference>
            <reference field="0" count="1" selected="0">
              <x v="32"/>
            </reference>
            <reference field="3" count="1">
              <x v="2"/>
            </reference>
          </references>
        </pivotArea>
        <pivotArea type="data" collapsedLevelsAreSubtotals="1" fieldPosition="0">
          <references count="4">
            <reference field="4294967294" count="1" selected="0">
              <x v="0"/>
            </reference>
            <reference field="0" count="1" selected="0">
              <x v="32"/>
            </reference>
            <reference field="3" count="1" selected="0">
              <x v="2"/>
            </reference>
            <reference field="5" count="1">
              <x v="0"/>
            </reference>
          </references>
        </pivotArea>
        <pivotArea type="data" collapsedLevelsAreSubtotals="1" fieldPosition="0">
          <references count="2">
            <reference field="4294967294" count="1" selected="0">
              <x v="0"/>
            </reference>
            <reference field="0" count="1">
              <x v="33"/>
            </reference>
          </references>
        </pivotArea>
        <pivotArea type="data" collapsedLevelsAreSubtotals="1" fieldPosition="0">
          <references count="3">
            <reference field="4294967294" count="1" selected="0">
              <x v="0"/>
            </reference>
            <reference field="0" count="1" selected="0">
              <x v="33"/>
            </reference>
            <reference field="3" count="1">
              <x v="0"/>
            </reference>
          </references>
        </pivotArea>
        <pivotArea type="data" collapsedLevelsAreSubtotals="1" fieldPosition="0">
          <references count="4">
            <reference field="4294967294" count="1" selected="0">
              <x v="0"/>
            </reference>
            <reference field="0" count="1" selected="0">
              <x v="33"/>
            </reference>
            <reference field="3" count="1" selected="0">
              <x v="0"/>
            </reference>
            <reference field="5" count="1">
              <x v="0"/>
            </reference>
          </references>
        </pivotArea>
        <pivotArea type="data" collapsedLevelsAreSubtotals="1" fieldPosition="0">
          <references count="3">
            <reference field="4294967294" count="1" selected="0">
              <x v="0"/>
            </reference>
            <reference field="0" count="1" selected="0">
              <x v="33"/>
            </reference>
            <reference field="3" count="1">
              <x v="1"/>
            </reference>
          </references>
        </pivotArea>
        <pivotArea type="data" collapsedLevelsAreSubtotals="1" fieldPosition="0">
          <references count="4">
            <reference field="4294967294" count="1" selected="0">
              <x v="0"/>
            </reference>
            <reference field="0" count="1" selected="0">
              <x v="33"/>
            </reference>
            <reference field="3" count="1" selected="0">
              <x v="1"/>
            </reference>
            <reference field="5" count="1">
              <x v="2"/>
            </reference>
          </references>
        </pivotArea>
        <pivotArea type="data" collapsedLevelsAreSubtotals="1" fieldPosition="0">
          <references count="2">
            <reference field="4294967294" count="1" selected="0">
              <x v="0"/>
            </reference>
            <reference field="0" count="1">
              <x v="34"/>
            </reference>
          </references>
        </pivotArea>
        <pivotArea type="data" collapsedLevelsAreSubtotals="1" fieldPosition="0">
          <references count="3">
            <reference field="4294967294" count="1" selected="0">
              <x v="0"/>
            </reference>
            <reference field="0" count="1" selected="0">
              <x v="34"/>
            </reference>
            <reference field="3" count="1">
              <x v="1"/>
            </reference>
          </references>
        </pivotArea>
        <pivotArea type="data" collapsedLevelsAreSubtotals="1" fieldPosition="0">
          <references count="4">
            <reference field="4294967294" count="1" selected="0">
              <x v="0"/>
            </reference>
            <reference field="0" count="1" selected="0">
              <x v="34"/>
            </reference>
            <reference field="3" count="1" selected="0">
              <x v="1"/>
            </reference>
            <reference field="5" count="1">
              <x v="1"/>
            </reference>
          </references>
        </pivotArea>
        <pivotArea type="data" collapsedLevelsAreSubtotals="1" fieldPosition="0">
          <references count="3">
            <reference field="4294967294" count="1" selected="0">
              <x v="0"/>
            </reference>
            <reference field="0" count="1" selected="0">
              <x v="34"/>
            </reference>
            <reference field="3" count="1">
              <x v="2"/>
            </reference>
          </references>
        </pivotArea>
        <pivotArea type="data" collapsedLevelsAreSubtotals="1" fieldPosition="0">
          <references count="4">
            <reference field="4294967294" count="1" selected="0">
              <x v="0"/>
            </reference>
            <reference field="0" count="1" selected="0">
              <x v="34"/>
            </reference>
            <reference field="3" count="1" selected="0">
              <x v="2"/>
            </reference>
            <reference field="5" count="1">
              <x v="2"/>
            </reference>
          </references>
        </pivotArea>
        <pivotArea type="data" collapsedLevelsAreSubtotals="1" fieldPosition="0">
          <references count="2">
            <reference field="4294967294" count="1" selected="0">
              <x v="0"/>
            </reference>
            <reference field="0" count="1">
              <x v="35"/>
            </reference>
          </references>
        </pivotArea>
        <pivotArea type="data" collapsedLevelsAreSubtotals="1" fieldPosition="0">
          <references count="3">
            <reference field="4294967294" count="1" selected="0">
              <x v="0"/>
            </reference>
            <reference field="0" count="1" selected="0">
              <x v="35"/>
            </reference>
            <reference field="3" count="1">
              <x v="2"/>
            </reference>
          </references>
        </pivotArea>
        <pivotArea type="data" collapsedLevelsAreSubtotals="1" fieldPosition="0">
          <references count="4">
            <reference field="4294967294" count="1" selected="0">
              <x v="0"/>
            </reference>
            <reference field="0" count="1" selected="0">
              <x v="35"/>
            </reference>
            <reference field="3" count="1" selected="0">
              <x v="2"/>
            </reference>
            <reference field="5" count="1">
              <x v="1"/>
            </reference>
          </references>
        </pivotArea>
        <pivotArea type="data" collapsedLevelsAreSubtotals="1" fieldPosition="0">
          <references count="2">
            <reference field="4294967294" count="1" selected="0">
              <x v="0"/>
            </reference>
            <reference field="0" count="1">
              <x v="36"/>
            </reference>
          </references>
        </pivotArea>
        <pivotArea type="data" collapsedLevelsAreSubtotals="1" fieldPosition="0">
          <references count="3">
            <reference field="4294967294" count="1" selected="0">
              <x v="0"/>
            </reference>
            <reference field="0" count="1" selected="0">
              <x v="36"/>
            </reference>
            <reference field="3" count="1">
              <x v="3"/>
            </reference>
          </references>
        </pivotArea>
        <pivotArea type="data" collapsedLevelsAreSubtotals="1" fieldPosition="0">
          <references count="4">
            <reference field="4294967294" count="1" selected="0">
              <x v="0"/>
            </reference>
            <reference field="0" count="1" selected="0">
              <x v="36"/>
            </reference>
            <reference field="3" count="1" selected="0">
              <x v="3"/>
            </reference>
            <reference field="5" count="1">
              <x v="0"/>
            </reference>
          </references>
        </pivotArea>
        <pivotArea type="data" collapsedLevelsAreSubtotals="1" fieldPosition="0">
          <references count="2">
            <reference field="4294967294" count="1" selected="0">
              <x v="0"/>
            </reference>
            <reference field="0" count="1">
              <x v="37"/>
            </reference>
          </references>
        </pivotArea>
        <pivotArea type="data" collapsedLevelsAreSubtotals="1" fieldPosition="0">
          <references count="3">
            <reference field="4294967294" count="1" selected="0">
              <x v="0"/>
            </reference>
            <reference field="0" count="1" selected="0">
              <x v="37"/>
            </reference>
            <reference field="3" count="1">
              <x v="0"/>
            </reference>
          </references>
        </pivotArea>
        <pivotArea type="data" collapsedLevelsAreSubtotals="1" fieldPosition="0">
          <references count="4">
            <reference field="4294967294" count="1" selected="0">
              <x v="0"/>
            </reference>
            <reference field="0" count="1" selected="0">
              <x v="37"/>
            </reference>
            <reference field="3" count="1" selected="0">
              <x v="0"/>
            </reference>
            <reference field="5" count="1">
              <x v="1"/>
            </reference>
          </references>
        </pivotArea>
        <pivotArea type="data" collapsedLevelsAreSubtotals="1" fieldPosition="0">
          <references count="2">
            <reference field="4294967294" count="1" selected="0">
              <x v="0"/>
            </reference>
            <reference field="0" count="1">
              <x v="38"/>
            </reference>
          </references>
        </pivotArea>
        <pivotArea type="data" collapsedLevelsAreSubtotals="1" fieldPosition="0">
          <references count="3">
            <reference field="4294967294" count="1" selected="0">
              <x v="0"/>
            </reference>
            <reference field="0" count="1" selected="0">
              <x v="38"/>
            </reference>
            <reference field="3" count="1">
              <x v="3"/>
            </reference>
          </references>
        </pivotArea>
        <pivotArea type="data" collapsedLevelsAreSubtotals="1" fieldPosition="0">
          <references count="4">
            <reference field="4294967294" count="1" selected="0">
              <x v="0"/>
            </reference>
            <reference field="0" count="1" selected="0">
              <x v="38"/>
            </reference>
            <reference field="3" count="1" selected="0">
              <x v="3"/>
            </reference>
            <reference field="5" count="2">
              <x v="0"/>
              <x v="2"/>
            </reference>
          </references>
        </pivotArea>
        <pivotArea type="data" collapsedLevelsAreSubtotals="1" fieldPosition="0">
          <references count="2">
            <reference field="4294967294" count="1" selected="0">
              <x v="0"/>
            </reference>
            <reference field="0" count="1">
              <x v="39"/>
            </reference>
          </references>
        </pivotArea>
        <pivotArea type="data" collapsedLevelsAreSubtotals="1" fieldPosition="0">
          <references count="3">
            <reference field="4294967294" count="1" selected="0">
              <x v="0"/>
            </reference>
            <reference field="0" count="1" selected="0">
              <x v="39"/>
            </reference>
            <reference field="3" count="1">
              <x v="0"/>
            </reference>
          </references>
        </pivotArea>
        <pivotArea type="data" collapsedLevelsAreSubtotals="1" fieldPosition="0">
          <references count="4">
            <reference field="4294967294" count="1" selected="0">
              <x v="0"/>
            </reference>
            <reference field="0" count="1" selected="0">
              <x v="39"/>
            </reference>
            <reference field="3" count="1" selected="0">
              <x v="0"/>
            </reference>
            <reference field="5" count="1">
              <x v="1"/>
            </reference>
          </references>
        </pivotArea>
      </pivotAreas>
    </conditionalFormat>
    <conditionalFormat priority="3">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D16427-1DCD-4AC0-B625-503C2D6E8E10}" name="Table3" displayName="Table3" ref="A1:I71" totalsRowShown="0" headerRowDxfId="42" dataDxfId="41">
  <autoFilter ref="A1:I71" xr:uid="{B4D16427-1DCD-4AC0-B625-503C2D6E8E10}"/>
  <tableColumns count="9">
    <tableColumn id="1" xr3:uid="{5839C20C-052C-4146-9DD3-9780484087C5}" name="Date" dataDxfId="40"/>
    <tableColumn id="8" xr3:uid="{81DFA764-A1E0-4688-8467-A3679B9607A7}" name="Month" dataDxfId="39">
      <calculatedColumnFormula>TEXT(Table3[[#This Row],[Date]],"mmm-yyyy")</calculatedColumnFormula>
    </tableColumn>
    <tableColumn id="2" xr3:uid="{5FA3E392-2D72-4C65-AE5D-2000F6B36F6D}" name="Order_ID" dataDxfId="38"/>
    <tableColumn id="3" xr3:uid="{F1AC7BB0-1DE0-4BD0-9D75-2F642114C08E}" name="Region" dataDxfId="37"/>
    <tableColumn id="4" xr3:uid="{94C204B4-2269-4A2E-B6DE-CACA2019D719}" name="City" dataDxfId="36"/>
    <tableColumn id="5" xr3:uid="{90412693-7EA1-4BF5-8822-B46AE9D4C921}" name="Category" dataDxfId="35"/>
    <tableColumn id="6" xr3:uid="{0B1668AD-5343-4393-A02D-28823F61E55C}" name="Sales" dataDxfId="34"/>
    <tableColumn id="7" xr3:uid="{470ACB4F-C24A-4AC8-9881-F273F9F11292}" name="Target" dataDxfId="33"/>
    <tableColumn id="9" xr3:uid="{329DE795-B6F3-4EDC-9705-75C224B8A105}" name="Ach_Helper" dataDxfId="32">
      <calculatedColumnFormula>IF(H2=0,0,G2/H2)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B73D-C551-4378-99B2-E9C9A199B16F}">
  <dimension ref="A3:I33"/>
  <sheetViews>
    <sheetView showGridLines="0" zoomScale="68" zoomScaleNormal="68" workbookViewId="0">
      <selection activeCell="K32" sqref="K32"/>
    </sheetView>
  </sheetViews>
  <sheetFormatPr defaultRowHeight="14.4" x14ac:dyDescent="0.3"/>
  <cols>
    <col min="2" max="2" width="69.21875" customWidth="1"/>
    <col min="5" max="5" width="20.88671875" customWidth="1"/>
  </cols>
  <sheetData>
    <row r="3" spans="2:9" ht="21" x14ac:dyDescent="0.4">
      <c r="B3" s="3" t="s">
        <v>86</v>
      </c>
    </row>
    <row r="4" spans="2:9" ht="18" x14ac:dyDescent="0.35">
      <c r="B4" s="4" t="s">
        <v>0</v>
      </c>
      <c r="C4" s="5"/>
      <c r="D4" s="5"/>
      <c r="E4" s="4"/>
      <c r="F4" s="4"/>
      <c r="G4" s="4"/>
      <c r="H4" s="4"/>
      <c r="I4" s="4"/>
    </row>
    <row r="5" spans="2:9" ht="18" x14ac:dyDescent="0.35">
      <c r="B5" s="5"/>
      <c r="C5" s="5"/>
      <c r="D5" s="4"/>
      <c r="E5" s="4"/>
      <c r="F5" s="4"/>
      <c r="G5" s="4"/>
      <c r="H5" s="4"/>
    </row>
    <row r="6" spans="2:9" ht="21" x14ac:dyDescent="0.4">
      <c r="B6" s="3" t="s">
        <v>1</v>
      </c>
      <c r="C6" s="5"/>
      <c r="D6" s="6"/>
      <c r="E6" s="4"/>
      <c r="F6" s="4"/>
      <c r="G6" s="4"/>
      <c r="H6" s="4"/>
      <c r="I6" s="4"/>
    </row>
    <row r="7" spans="2:9" ht="18" x14ac:dyDescent="0.35">
      <c r="B7" s="4" t="s">
        <v>2</v>
      </c>
      <c r="D7" s="1"/>
    </row>
    <row r="8" spans="2:9" x14ac:dyDescent="0.3">
      <c r="B8" s="1"/>
      <c r="C8" s="1"/>
    </row>
    <row r="9" spans="2:9" ht="21" x14ac:dyDescent="0.4">
      <c r="B9" s="3" t="s">
        <v>3</v>
      </c>
      <c r="C9" s="1"/>
      <c r="D9" s="1"/>
    </row>
    <row r="10" spans="2:9" ht="18" x14ac:dyDescent="0.35">
      <c r="B10" s="4" t="s">
        <v>4</v>
      </c>
    </row>
    <row r="11" spans="2:9" ht="18" x14ac:dyDescent="0.35">
      <c r="B11" s="4"/>
      <c r="C11" s="4"/>
      <c r="D11" s="4"/>
    </row>
    <row r="12" spans="2:9" ht="21" x14ac:dyDescent="0.4">
      <c r="B12" s="3" t="s">
        <v>5</v>
      </c>
    </row>
    <row r="13" spans="2:9" ht="18" x14ac:dyDescent="0.35">
      <c r="B13" s="4" t="s">
        <v>6</v>
      </c>
    </row>
    <row r="14" spans="2:9" ht="18" x14ac:dyDescent="0.35">
      <c r="B14" s="4" t="s">
        <v>7</v>
      </c>
    </row>
    <row r="15" spans="2:9" ht="18" x14ac:dyDescent="0.35">
      <c r="B15" s="4" t="s">
        <v>8</v>
      </c>
    </row>
    <row r="16" spans="2:9" ht="18" x14ac:dyDescent="0.35">
      <c r="B16" s="4" t="s">
        <v>9</v>
      </c>
    </row>
    <row r="17" spans="1:2" ht="18" x14ac:dyDescent="0.35">
      <c r="B17" s="4"/>
    </row>
    <row r="18" spans="1:2" ht="21" x14ac:dyDescent="0.3">
      <c r="B18" s="27" t="s">
        <v>96</v>
      </c>
    </row>
    <row r="19" spans="1:2" ht="18" x14ac:dyDescent="0.35">
      <c r="A19" s="4"/>
      <c r="B19" s="2" t="s">
        <v>97</v>
      </c>
    </row>
    <row r="20" spans="1:2" ht="18" x14ac:dyDescent="0.35">
      <c r="A20" s="4"/>
      <c r="B20" s="4"/>
    </row>
    <row r="21" spans="1:2" ht="18" x14ac:dyDescent="0.35">
      <c r="A21" s="4"/>
      <c r="B21" s="2" t="s">
        <v>98</v>
      </c>
    </row>
    <row r="22" spans="1:2" ht="18" x14ac:dyDescent="0.35">
      <c r="A22" s="4"/>
      <c r="B22" s="4"/>
    </row>
    <row r="23" spans="1:2" ht="18" x14ac:dyDescent="0.35">
      <c r="A23" s="4"/>
      <c r="B23" s="2" t="s">
        <v>99</v>
      </c>
    </row>
    <row r="24" spans="1:2" ht="18" x14ac:dyDescent="0.35">
      <c r="A24" s="4"/>
      <c r="B24" s="4"/>
    </row>
    <row r="25" spans="1:2" ht="18" x14ac:dyDescent="0.35">
      <c r="A25" s="4"/>
      <c r="B25" s="2" t="s">
        <v>100</v>
      </c>
    </row>
    <row r="27" spans="1:2" ht="21" x14ac:dyDescent="0.4">
      <c r="B27" s="3" t="s">
        <v>95</v>
      </c>
    </row>
    <row r="28" spans="1:2" s="4" customFormat="1" ht="18" x14ac:dyDescent="0.35">
      <c r="B28" s="4" t="s">
        <v>101</v>
      </c>
    </row>
    <row r="29" spans="1:2" s="4" customFormat="1" ht="18" x14ac:dyDescent="0.35">
      <c r="B29" s="4" t="s">
        <v>102</v>
      </c>
    </row>
    <row r="30" spans="1:2" ht="18" x14ac:dyDescent="0.35">
      <c r="B30" s="4" t="s">
        <v>103</v>
      </c>
    </row>
    <row r="31" spans="1:2" ht="18" x14ac:dyDescent="0.35">
      <c r="B31" s="4" t="s">
        <v>104</v>
      </c>
    </row>
    <row r="32" spans="1:2" ht="18" x14ac:dyDescent="0.35">
      <c r="B32" s="4"/>
    </row>
    <row r="33" spans="2:2" ht="18" x14ac:dyDescent="0.35">
      <c r="B33"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7FC4-10E4-4323-93BE-11D9E8A0DB73}">
  <dimension ref="A1:I71"/>
  <sheetViews>
    <sheetView zoomScale="98" zoomScaleNormal="98" workbookViewId="0">
      <selection activeCell="R12" sqref="R12"/>
    </sheetView>
  </sheetViews>
  <sheetFormatPr defaultRowHeight="14.4" x14ac:dyDescent="0.3"/>
  <cols>
    <col min="1" max="1" width="12.6640625" style="8" customWidth="1"/>
    <col min="2" max="2" width="12.77734375" style="8" customWidth="1"/>
    <col min="3" max="3" width="12.109375" style="8" customWidth="1"/>
    <col min="4" max="4" width="14" style="8" customWidth="1"/>
    <col min="5" max="5" width="13.33203125" style="8" customWidth="1"/>
    <col min="6" max="6" width="16.33203125" style="8" customWidth="1"/>
    <col min="7" max="7" width="14.21875" style="8" customWidth="1"/>
    <col min="8" max="8" width="12.44140625" style="8" customWidth="1"/>
    <col min="9" max="9" width="24.33203125" style="19" customWidth="1"/>
    <col min="10" max="16384" width="8.88671875" style="8"/>
  </cols>
  <sheetData>
    <row r="1" spans="1:9" x14ac:dyDescent="0.3">
      <c r="A1" s="11" t="s">
        <v>10</v>
      </c>
      <c r="B1" s="11" t="s">
        <v>31</v>
      </c>
      <c r="C1" s="8" t="s">
        <v>11</v>
      </c>
      <c r="D1" s="8" t="s">
        <v>12</v>
      </c>
      <c r="E1" s="8" t="s">
        <v>13</v>
      </c>
      <c r="F1" s="8" t="s">
        <v>14</v>
      </c>
      <c r="G1" s="8" t="s">
        <v>15</v>
      </c>
      <c r="H1" s="8" t="s">
        <v>16</v>
      </c>
      <c r="I1" s="19" t="s">
        <v>81</v>
      </c>
    </row>
    <row r="2" spans="1:9" x14ac:dyDescent="0.3">
      <c r="A2" s="11">
        <v>45686</v>
      </c>
      <c r="B2" s="11" t="str">
        <f>TEXT(Table3[[#This Row],[Date]],"mmm-yyyy")</f>
        <v>Jan-2025</v>
      </c>
      <c r="C2" s="8">
        <v>1001</v>
      </c>
      <c r="D2" s="8" t="s">
        <v>27</v>
      </c>
      <c r="E2" s="8" t="s">
        <v>26</v>
      </c>
      <c r="F2" s="8" t="s">
        <v>19</v>
      </c>
      <c r="G2" s="8">
        <v>7060</v>
      </c>
      <c r="H2" s="8">
        <v>8369</v>
      </c>
      <c r="I2" s="19">
        <f t="shared" ref="I2:I33" si="0">IF(H2=0,0,G2/H2)</f>
        <v>0.84358943720874657</v>
      </c>
    </row>
    <row r="3" spans="1:9" x14ac:dyDescent="0.3">
      <c r="A3" s="11">
        <v>45679</v>
      </c>
      <c r="B3" s="11" t="str">
        <f>TEXT(Table3[[#This Row],[Date]],"mmm-yyyy")</f>
        <v>Jan-2025</v>
      </c>
      <c r="C3" s="8">
        <v>1002</v>
      </c>
      <c r="D3" s="8" t="s">
        <v>20</v>
      </c>
      <c r="E3" s="8" t="s">
        <v>21</v>
      </c>
      <c r="F3" s="8" t="s">
        <v>19</v>
      </c>
      <c r="G3" s="8">
        <v>5301</v>
      </c>
      <c r="H3" s="8">
        <v>7148</v>
      </c>
      <c r="I3" s="19">
        <f t="shared" si="0"/>
        <v>0.74160604364857308</v>
      </c>
    </row>
    <row r="4" spans="1:9" x14ac:dyDescent="0.3">
      <c r="A4" s="11">
        <v>45663</v>
      </c>
      <c r="B4" s="11" t="str">
        <f>TEXT(Table3[[#This Row],[Date]],"mmm-yyyy")</f>
        <v>Jan-2025</v>
      </c>
      <c r="C4" s="8">
        <v>1003</v>
      </c>
      <c r="D4" s="8" t="s">
        <v>27</v>
      </c>
      <c r="E4" s="8" t="s">
        <v>26</v>
      </c>
      <c r="F4" s="8" t="s">
        <v>19</v>
      </c>
      <c r="G4" s="8">
        <v>8603</v>
      </c>
      <c r="H4" s="8">
        <v>9097</v>
      </c>
      <c r="I4" s="19">
        <f t="shared" si="0"/>
        <v>0.94569638342310647</v>
      </c>
    </row>
    <row r="5" spans="1:9" x14ac:dyDescent="0.3">
      <c r="A5" s="11">
        <v>45666</v>
      </c>
      <c r="B5" s="11" t="str">
        <f>TEXT(Table3[[#This Row],[Date]],"mmm-yyyy")</f>
        <v>Jan-2025</v>
      </c>
      <c r="C5" s="8">
        <v>1004</v>
      </c>
      <c r="D5" s="8" t="s">
        <v>27</v>
      </c>
      <c r="E5" s="8" t="s">
        <v>26</v>
      </c>
      <c r="F5" s="8" t="s">
        <v>25</v>
      </c>
      <c r="G5" s="8">
        <v>6715</v>
      </c>
      <c r="H5" s="8">
        <v>8047</v>
      </c>
      <c r="I5" s="19">
        <f t="shared" si="0"/>
        <v>0.83447247421399284</v>
      </c>
    </row>
    <row r="6" spans="1:9" x14ac:dyDescent="0.3">
      <c r="A6" s="11">
        <v>45689</v>
      </c>
      <c r="B6" s="11" t="str">
        <f>TEXT(Table3[[#This Row],[Date]],"mmm-yyyy")</f>
        <v>Feb-2025</v>
      </c>
      <c r="C6" s="8">
        <v>1005</v>
      </c>
      <c r="D6" s="8" t="s">
        <v>23</v>
      </c>
      <c r="E6" s="8" t="s">
        <v>24</v>
      </c>
      <c r="F6" s="8" t="s">
        <v>25</v>
      </c>
      <c r="G6" s="8">
        <v>8880</v>
      </c>
      <c r="H6" s="8">
        <v>7920</v>
      </c>
      <c r="I6" s="19">
        <f t="shared" si="0"/>
        <v>1.1212121212121211</v>
      </c>
    </row>
    <row r="7" spans="1:9" x14ac:dyDescent="0.3">
      <c r="A7" s="11">
        <v>45700</v>
      </c>
      <c r="B7" s="11" t="str">
        <f>TEXT(Table3[[#This Row],[Date]],"mmm-yyyy")</f>
        <v>Feb-2025</v>
      </c>
      <c r="C7" s="8">
        <v>1006</v>
      </c>
      <c r="D7" s="8" t="s">
        <v>23</v>
      </c>
      <c r="E7" s="8" t="s">
        <v>24</v>
      </c>
      <c r="F7" s="8" t="s">
        <v>19</v>
      </c>
      <c r="G7" s="8">
        <v>10326</v>
      </c>
      <c r="H7" s="8">
        <v>8828</v>
      </c>
      <c r="I7" s="19">
        <f t="shared" si="0"/>
        <v>1.1696873584050749</v>
      </c>
    </row>
    <row r="8" spans="1:9" x14ac:dyDescent="0.3">
      <c r="A8" s="11">
        <v>45705</v>
      </c>
      <c r="B8" s="11" t="str">
        <f>TEXT(Table3[[#This Row],[Date]],"mmm-yyyy")</f>
        <v>Feb-2025</v>
      </c>
      <c r="C8" s="8">
        <v>1007</v>
      </c>
      <c r="D8" s="8" t="s">
        <v>17</v>
      </c>
      <c r="E8" s="8" t="s">
        <v>18</v>
      </c>
      <c r="F8" s="8" t="s">
        <v>22</v>
      </c>
      <c r="G8" s="8">
        <v>8205</v>
      </c>
      <c r="H8" s="8">
        <v>7128</v>
      </c>
      <c r="I8" s="19">
        <f t="shared" si="0"/>
        <v>1.1510942760942762</v>
      </c>
    </row>
    <row r="9" spans="1:9" x14ac:dyDescent="0.3">
      <c r="A9" s="11">
        <v>45701</v>
      </c>
      <c r="B9" s="11" t="str">
        <f>TEXT(Table3[[#This Row],[Date]],"mmm-yyyy")</f>
        <v>Feb-2025</v>
      </c>
      <c r="C9" s="8">
        <v>1008</v>
      </c>
      <c r="D9" s="8" t="s">
        <v>23</v>
      </c>
      <c r="E9" s="8" t="s">
        <v>24</v>
      </c>
      <c r="F9" s="8" t="s">
        <v>25</v>
      </c>
      <c r="G9" s="8">
        <v>15528</v>
      </c>
      <c r="H9" s="8">
        <v>15128</v>
      </c>
      <c r="I9" s="19">
        <f t="shared" si="0"/>
        <v>1.0264410364886303</v>
      </c>
    </row>
    <row r="10" spans="1:9" x14ac:dyDescent="0.3">
      <c r="A10" s="11">
        <v>45683</v>
      </c>
      <c r="B10" s="11" t="str">
        <f>TEXT(Table3[[#This Row],[Date]],"mmm-yyyy")</f>
        <v>Jan-2025</v>
      </c>
      <c r="C10" s="8">
        <v>1009</v>
      </c>
      <c r="D10" s="8" t="s">
        <v>20</v>
      </c>
      <c r="E10" s="8" t="s">
        <v>21</v>
      </c>
      <c r="F10" s="8" t="s">
        <v>22</v>
      </c>
      <c r="G10" s="8">
        <v>12060</v>
      </c>
      <c r="H10" s="8">
        <v>10877</v>
      </c>
      <c r="I10" s="19">
        <f t="shared" si="0"/>
        <v>1.1087616070607704</v>
      </c>
    </row>
    <row r="11" spans="1:9" x14ac:dyDescent="0.3">
      <c r="A11" s="11">
        <v>45662</v>
      </c>
      <c r="B11" s="11" t="str">
        <f>TEXT(Table3[[#This Row],[Date]],"mmm-yyyy")</f>
        <v>Jan-2025</v>
      </c>
      <c r="C11" s="8">
        <v>1010</v>
      </c>
      <c r="D11" s="8" t="s">
        <v>17</v>
      </c>
      <c r="E11" s="8" t="s">
        <v>18</v>
      </c>
      <c r="F11" s="8" t="s">
        <v>25</v>
      </c>
      <c r="G11" s="8">
        <v>10890</v>
      </c>
      <c r="H11" s="8">
        <v>9537</v>
      </c>
      <c r="I11" s="19">
        <f t="shared" si="0"/>
        <v>1.1418685121107266</v>
      </c>
    </row>
    <row r="12" spans="1:9" x14ac:dyDescent="0.3">
      <c r="A12" s="11">
        <v>45682</v>
      </c>
      <c r="B12" s="11" t="str">
        <f>TEXT(Table3[[#This Row],[Date]],"mmm-yyyy")</f>
        <v>Jan-2025</v>
      </c>
      <c r="C12" s="8">
        <v>1011</v>
      </c>
      <c r="D12" s="8" t="s">
        <v>27</v>
      </c>
      <c r="E12" s="8" t="s">
        <v>26</v>
      </c>
      <c r="F12" s="8" t="s">
        <v>25</v>
      </c>
      <c r="G12" s="8">
        <v>12393</v>
      </c>
      <c r="H12" s="8">
        <v>13951</v>
      </c>
      <c r="I12" s="19">
        <f t="shared" si="0"/>
        <v>0.88832341767615219</v>
      </c>
    </row>
    <row r="13" spans="1:9" x14ac:dyDescent="0.3">
      <c r="A13" s="11">
        <v>45685</v>
      </c>
      <c r="B13" s="11" t="str">
        <f>TEXT(Table3[[#This Row],[Date]],"mmm-yyyy")</f>
        <v>Jan-2025</v>
      </c>
      <c r="C13" s="8">
        <v>1012</v>
      </c>
      <c r="D13" s="8" t="s">
        <v>27</v>
      </c>
      <c r="E13" s="8" t="s">
        <v>26</v>
      </c>
      <c r="F13" s="8" t="s">
        <v>22</v>
      </c>
      <c r="G13" s="8">
        <v>11769</v>
      </c>
      <c r="H13" s="8">
        <v>10566</v>
      </c>
      <c r="I13" s="19">
        <f t="shared" si="0"/>
        <v>1.1138557637705848</v>
      </c>
    </row>
    <row r="14" spans="1:9" x14ac:dyDescent="0.3">
      <c r="A14" s="11">
        <v>45708</v>
      </c>
      <c r="B14" s="11" t="str">
        <f>TEXT(Table3[[#This Row],[Date]],"mmm-yyyy")</f>
        <v>Feb-2025</v>
      </c>
      <c r="C14" s="8">
        <v>1013</v>
      </c>
      <c r="D14" s="8" t="s">
        <v>23</v>
      </c>
      <c r="E14" s="8" t="s">
        <v>24</v>
      </c>
      <c r="F14" s="8" t="s">
        <v>22</v>
      </c>
      <c r="G14" s="8">
        <v>10720</v>
      </c>
      <c r="H14" s="8">
        <v>10939</v>
      </c>
      <c r="I14" s="19">
        <f t="shared" si="0"/>
        <v>0.97997988847243811</v>
      </c>
    </row>
    <row r="15" spans="1:9" x14ac:dyDescent="0.3">
      <c r="A15" s="11">
        <v>45684</v>
      </c>
      <c r="B15" s="11" t="str">
        <f>TEXT(Table3[[#This Row],[Date]],"mmm-yyyy")</f>
        <v>Jan-2025</v>
      </c>
      <c r="C15" s="8">
        <v>1014</v>
      </c>
      <c r="D15" s="8" t="s">
        <v>27</v>
      </c>
      <c r="E15" s="8" t="s">
        <v>26</v>
      </c>
      <c r="F15" s="8" t="s">
        <v>19</v>
      </c>
      <c r="G15" s="8">
        <v>7101</v>
      </c>
      <c r="H15" s="8">
        <v>9092</v>
      </c>
      <c r="I15" s="19">
        <f t="shared" si="0"/>
        <v>0.78101627804663443</v>
      </c>
    </row>
    <row r="16" spans="1:9" x14ac:dyDescent="0.3">
      <c r="A16" s="11">
        <v>45681</v>
      </c>
      <c r="B16" s="11" t="str">
        <f>TEXT(Table3[[#This Row],[Date]],"mmm-yyyy")</f>
        <v>Jan-2025</v>
      </c>
      <c r="C16" s="8">
        <v>1015</v>
      </c>
      <c r="D16" s="8" t="s">
        <v>27</v>
      </c>
      <c r="E16" s="8" t="s">
        <v>26</v>
      </c>
      <c r="F16" s="8" t="s">
        <v>25</v>
      </c>
      <c r="G16" s="8">
        <v>6384</v>
      </c>
      <c r="H16" s="8">
        <v>7749</v>
      </c>
      <c r="I16" s="19">
        <f t="shared" si="0"/>
        <v>0.82384823848238486</v>
      </c>
    </row>
    <row r="17" spans="1:9" x14ac:dyDescent="0.3">
      <c r="A17" s="11">
        <v>45714</v>
      </c>
      <c r="B17" s="11" t="str">
        <f>TEXT(Table3[[#This Row],[Date]],"mmm-yyyy")</f>
        <v>Feb-2025</v>
      </c>
      <c r="C17" s="8">
        <v>1016</v>
      </c>
      <c r="D17" s="8" t="s">
        <v>27</v>
      </c>
      <c r="E17" s="8" t="s">
        <v>26</v>
      </c>
      <c r="F17" s="8" t="s">
        <v>22</v>
      </c>
      <c r="G17" s="8">
        <v>11538</v>
      </c>
      <c r="H17" s="8">
        <v>12383</v>
      </c>
      <c r="I17" s="19">
        <f t="shared" si="0"/>
        <v>0.93176128563352989</v>
      </c>
    </row>
    <row r="18" spans="1:9" x14ac:dyDescent="0.3">
      <c r="A18" s="11">
        <v>45712</v>
      </c>
      <c r="B18" s="11" t="str">
        <f>TEXT(Table3[[#This Row],[Date]],"mmm-yyyy")</f>
        <v>Feb-2025</v>
      </c>
      <c r="C18" s="8">
        <v>1017</v>
      </c>
      <c r="D18" s="8" t="s">
        <v>20</v>
      </c>
      <c r="E18" s="8" t="s">
        <v>21</v>
      </c>
      <c r="F18" s="8" t="s">
        <v>25</v>
      </c>
      <c r="G18" s="8">
        <v>8795</v>
      </c>
      <c r="H18" s="8">
        <v>9520</v>
      </c>
      <c r="I18" s="19">
        <f t="shared" si="0"/>
        <v>0.9238445378151261</v>
      </c>
    </row>
    <row r="19" spans="1:9" x14ac:dyDescent="0.3">
      <c r="A19" s="11">
        <v>45666</v>
      </c>
      <c r="B19" s="11" t="str">
        <f>TEXT(Table3[[#This Row],[Date]],"mmm-yyyy")</f>
        <v>Jan-2025</v>
      </c>
      <c r="C19" s="8">
        <v>1018</v>
      </c>
      <c r="D19" s="8" t="s">
        <v>17</v>
      </c>
      <c r="E19" s="8" t="s">
        <v>18</v>
      </c>
      <c r="F19" s="8" t="s">
        <v>19</v>
      </c>
      <c r="G19" s="8">
        <v>14794</v>
      </c>
      <c r="H19" s="8">
        <v>14584</v>
      </c>
      <c r="I19" s="19">
        <f t="shared" si="0"/>
        <v>1.0143993417443773</v>
      </c>
    </row>
    <row r="20" spans="1:9" x14ac:dyDescent="0.3">
      <c r="A20" s="11">
        <v>45696</v>
      </c>
      <c r="B20" s="11" t="str">
        <f>TEXT(Table3[[#This Row],[Date]],"mmm-yyyy")</f>
        <v>Feb-2025</v>
      </c>
      <c r="C20" s="8">
        <v>1019</v>
      </c>
      <c r="D20" s="8" t="s">
        <v>17</v>
      </c>
      <c r="E20" s="8" t="s">
        <v>18</v>
      </c>
      <c r="F20" s="8" t="s">
        <v>19</v>
      </c>
      <c r="G20" s="8">
        <v>13206</v>
      </c>
      <c r="H20" s="8">
        <v>11993</v>
      </c>
      <c r="I20" s="19">
        <f t="shared" si="0"/>
        <v>1.1011423330275993</v>
      </c>
    </row>
    <row r="21" spans="1:9" x14ac:dyDescent="0.3">
      <c r="A21" s="11">
        <v>45669</v>
      </c>
      <c r="B21" s="11" t="str">
        <f>TEXT(Table3[[#This Row],[Date]],"mmm-yyyy")</f>
        <v>Jan-2025</v>
      </c>
      <c r="C21" s="8">
        <v>1020</v>
      </c>
      <c r="D21" s="8" t="s">
        <v>20</v>
      </c>
      <c r="E21" s="8" t="s">
        <v>21</v>
      </c>
      <c r="F21" s="8" t="s">
        <v>22</v>
      </c>
      <c r="G21" s="8">
        <v>14995</v>
      </c>
      <c r="H21" s="8">
        <v>15043</v>
      </c>
      <c r="I21" s="19">
        <f t="shared" si="0"/>
        <v>0.99680914711161339</v>
      </c>
    </row>
    <row r="22" spans="1:9" x14ac:dyDescent="0.3">
      <c r="A22" s="11">
        <v>45705</v>
      </c>
      <c r="B22" s="11" t="str">
        <f>TEXT(Table3[[#This Row],[Date]],"mmm-yyyy")</f>
        <v>Feb-2025</v>
      </c>
      <c r="C22" s="8">
        <v>1021</v>
      </c>
      <c r="D22" s="8" t="s">
        <v>23</v>
      </c>
      <c r="E22" s="8" t="s">
        <v>24</v>
      </c>
      <c r="F22" s="8" t="s">
        <v>19</v>
      </c>
      <c r="G22" s="8">
        <v>6537</v>
      </c>
      <c r="H22" s="8">
        <v>7461</v>
      </c>
      <c r="I22" s="19">
        <f t="shared" si="0"/>
        <v>0.87615601125854448</v>
      </c>
    </row>
    <row r="23" spans="1:9" x14ac:dyDescent="0.3">
      <c r="A23" s="11">
        <v>45672</v>
      </c>
      <c r="B23" s="11" t="str">
        <f>TEXT(Table3[[#This Row],[Date]],"mmm-yyyy")</f>
        <v>Jan-2025</v>
      </c>
      <c r="C23" s="8">
        <v>1022</v>
      </c>
      <c r="D23" s="8" t="s">
        <v>23</v>
      </c>
      <c r="E23" s="8" t="s">
        <v>24</v>
      </c>
      <c r="F23" s="8" t="s">
        <v>22</v>
      </c>
      <c r="G23" s="8">
        <v>9290</v>
      </c>
      <c r="H23" s="8">
        <v>9482</v>
      </c>
      <c r="I23" s="19">
        <f t="shared" si="0"/>
        <v>0.97975110736131621</v>
      </c>
    </row>
    <row r="24" spans="1:9" x14ac:dyDescent="0.3">
      <c r="A24" s="11">
        <v>45700</v>
      </c>
      <c r="B24" s="11" t="str">
        <f>TEXT(Table3[[#This Row],[Date]],"mmm-yyyy")</f>
        <v>Feb-2025</v>
      </c>
      <c r="C24" s="8">
        <v>1023</v>
      </c>
      <c r="D24" s="8" t="s">
        <v>20</v>
      </c>
      <c r="E24" s="8" t="s">
        <v>21</v>
      </c>
      <c r="F24" s="8" t="s">
        <v>19</v>
      </c>
      <c r="G24" s="8">
        <v>7437</v>
      </c>
      <c r="H24" s="8">
        <v>8311</v>
      </c>
      <c r="I24" s="19">
        <f t="shared" si="0"/>
        <v>0.8948381662856455</v>
      </c>
    </row>
    <row r="25" spans="1:9" x14ac:dyDescent="0.3">
      <c r="A25" s="11">
        <v>45671</v>
      </c>
      <c r="B25" s="11" t="str">
        <f>TEXT(Table3[[#This Row],[Date]],"mmm-yyyy")</f>
        <v>Jan-2025</v>
      </c>
      <c r="C25" s="8">
        <v>1024</v>
      </c>
      <c r="D25" s="8" t="s">
        <v>20</v>
      </c>
      <c r="E25" s="8" t="s">
        <v>21</v>
      </c>
      <c r="F25" s="8" t="s">
        <v>19</v>
      </c>
      <c r="G25" s="8">
        <v>9274</v>
      </c>
      <c r="H25" s="8">
        <v>8712</v>
      </c>
      <c r="I25" s="19">
        <f t="shared" si="0"/>
        <v>1.0645087235996327</v>
      </c>
    </row>
    <row r="26" spans="1:9" x14ac:dyDescent="0.3">
      <c r="A26" s="11">
        <v>45715</v>
      </c>
      <c r="B26" s="11" t="str">
        <f>TEXT(Table3[[#This Row],[Date]],"mmm-yyyy")</f>
        <v>Feb-2025</v>
      </c>
      <c r="C26" s="8">
        <v>1025</v>
      </c>
      <c r="D26" s="8" t="s">
        <v>20</v>
      </c>
      <c r="E26" s="8" t="s">
        <v>21</v>
      </c>
      <c r="F26" s="8" t="s">
        <v>19</v>
      </c>
      <c r="G26" s="8">
        <v>15791</v>
      </c>
      <c r="H26" s="8">
        <v>14440</v>
      </c>
      <c r="I26" s="19">
        <f t="shared" si="0"/>
        <v>1.0935595567867036</v>
      </c>
    </row>
    <row r="27" spans="1:9" x14ac:dyDescent="0.3">
      <c r="A27" s="11">
        <v>45680</v>
      </c>
      <c r="B27" s="11" t="str">
        <f>TEXT(Table3[[#This Row],[Date]],"mmm-yyyy")</f>
        <v>Jan-2025</v>
      </c>
      <c r="C27" s="8">
        <v>1026</v>
      </c>
      <c r="D27" s="8" t="s">
        <v>23</v>
      </c>
      <c r="E27" s="8" t="s">
        <v>24</v>
      </c>
      <c r="F27" s="8" t="s">
        <v>25</v>
      </c>
      <c r="G27" s="8">
        <v>11697</v>
      </c>
      <c r="H27" s="8">
        <v>11836</v>
      </c>
      <c r="I27" s="19">
        <f t="shared" si="0"/>
        <v>0.98825616762419732</v>
      </c>
    </row>
    <row r="28" spans="1:9" x14ac:dyDescent="0.3">
      <c r="A28" s="11">
        <v>45695</v>
      </c>
      <c r="B28" s="11" t="str">
        <f>TEXT(Table3[[#This Row],[Date]],"mmm-yyyy")</f>
        <v>Feb-2025</v>
      </c>
      <c r="C28" s="8">
        <v>1027</v>
      </c>
      <c r="D28" s="8" t="s">
        <v>17</v>
      </c>
      <c r="E28" s="8" t="s">
        <v>18</v>
      </c>
      <c r="F28" s="8" t="s">
        <v>19</v>
      </c>
      <c r="G28" s="8">
        <v>11262</v>
      </c>
      <c r="H28" s="8">
        <v>12649</v>
      </c>
      <c r="I28" s="19">
        <f t="shared" si="0"/>
        <v>0.89034706300893351</v>
      </c>
    </row>
    <row r="29" spans="1:9" x14ac:dyDescent="0.3">
      <c r="A29" s="11">
        <v>45694</v>
      </c>
      <c r="B29" s="11" t="str">
        <f>TEXT(Table3[[#This Row],[Date]],"mmm-yyyy")</f>
        <v>Feb-2025</v>
      </c>
      <c r="C29" s="8">
        <v>1028</v>
      </c>
      <c r="D29" s="8" t="s">
        <v>23</v>
      </c>
      <c r="E29" s="8" t="s">
        <v>24</v>
      </c>
      <c r="F29" s="8" t="s">
        <v>22</v>
      </c>
      <c r="G29" s="8">
        <v>10054</v>
      </c>
      <c r="H29" s="8">
        <v>9617</v>
      </c>
      <c r="I29" s="19">
        <f t="shared" si="0"/>
        <v>1.045440366018509</v>
      </c>
    </row>
    <row r="30" spans="1:9" x14ac:dyDescent="0.3">
      <c r="A30" s="11">
        <v>45691</v>
      </c>
      <c r="B30" s="11" t="str">
        <f>TEXT(Table3[[#This Row],[Date]],"mmm-yyyy")</f>
        <v>Feb-2025</v>
      </c>
      <c r="C30" s="8">
        <v>1029</v>
      </c>
      <c r="D30" s="8" t="s">
        <v>20</v>
      </c>
      <c r="E30" s="8" t="s">
        <v>21</v>
      </c>
      <c r="F30" s="8" t="s">
        <v>19</v>
      </c>
      <c r="G30" s="8">
        <v>11632</v>
      </c>
      <c r="H30" s="8">
        <v>10621</v>
      </c>
      <c r="I30" s="19">
        <f t="shared" si="0"/>
        <v>1.0951887769513229</v>
      </c>
    </row>
    <row r="31" spans="1:9" x14ac:dyDescent="0.3">
      <c r="A31" s="11">
        <v>45695</v>
      </c>
      <c r="B31" s="11" t="str">
        <f>TEXT(Table3[[#This Row],[Date]],"mmm-yyyy")</f>
        <v>Feb-2025</v>
      </c>
      <c r="C31" s="8">
        <v>1030</v>
      </c>
      <c r="D31" s="8" t="s">
        <v>17</v>
      </c>
      <c r="E31" s="8" t="s">
        <v>18</v>
      </c>
      <c r="F31" s="8" t="s">
        <v>25</v>
      </c>
      <c r="G31" s="8">
        <v>9146</v>
      </c>
      <c r="H31" s="8">
        <v>11110</v>
      </c>
      <c r="I31" s="19">
        <f t="shared" si="0"/>
        <v>0.82322232223222325</v>
      </c>
    </row>
    <row r="32" spans="1:9" x14ac:dyDescent="0.3">
      <c r="A32" s="11">
        <v>45660</v>
      </c>
      <c r="B32" s="11" t="str">
        <f>TEXT(Table3[[#This Row],[Date]],"mmm-yyyy")</f>
        <v>Jan-2025</v>
      </c>
      <c r="C32" s="8">
        <v>1031</v>
      </c>
      <c r="D32" s="8" t="s">
        <v>27</v>
      </c>
      <c r="E32" s="8" t="s">
        <v>26</v>
      </c>
      <c r="F32" s="8" t="s">
        <v>19</v>
      </c>
      <c r="G32" s="8">
        <v>11981</v>
      </c>
      <c r="H32" s="8">
        <v>11848</v>
      </c>
      <c r="I32" s="19">
        <f t="shared" si="0"/>
        <v>1.0112255232950709</v>
      </c>
    </row>
    <row r="33" spans="1:9" x14ac:dyDescent="0.3">
      <c r="A33" s="11">
        <v>45668</v>
      </c>
      <c r="B33" s="11" t="str">
        <f>TEXT(Table3[[#This Row],[Date]],"mmm-yyyy")</f>
        <v>Jan-2025</v>
      </c>
      <c r="C33" s="8">
        <v>1032</v>
      </c>
      <c r="D33" s="8" t="s">
        <v>20</v>
      </c>
      <c r="E33" s="8" t="s">
        <v>21</v>
      </c>
      <c r="F33" s="8" t="s">
        <v>25</v>
      </c>
      <c r="G33" s="8">
        <v>11916</v>
      </c>
      <c r="H33" s="8">
        <v>13569</v>
      </c>
      <c r="I33" s="19">
        <f t="shared" si="0"/>
        <v>0.87817820030952909</v>
      </c>
    </row>
    <row r="34" spans="1:9" x14ac:dyDescent="0.3">
      <c r="A34" s="11">
        <v>45692</v>
      </c>
      <c r="B34" s="11" t="str">
        <f>TEXT(Table3[[#This Row],[Date]],"mmm-yyyy")</f>
        <v>Feb-2025</v>
      </c>
      <c r="C34" s="8">
        <v>1033</v>
      </c>
      <c r="D34" s="8" t="s">
        <v>27</v>
      </c>
      <c r="E34" s="8" t="s">
        <v>26</v>
      </c>
      <c r="F34" s="8" t="s">
        <v>19</v>
      </c>
      <c r="G34" s="8">
        <v>9518</v>
      </c>
      <c r="H34" s="8">
        <v>10837</v>
      </c>
      <c r="I34" s="19">
        <f t="shared" ref="I34:I65" si="1">IF(H34=0,0,G34/H34)</f>
        <v>0.87828734889729632</v>
      </c>
    </row>
    <row r="35" spans="1:9" x14ac:dyDescent="0.3">
      <c r="A35" s="11">
        <v>45689</v>
      </c>
      <c r="B35" s="11" t="str">
        <f>TEXT(Table3[[#This Row],[Date]],"mmm-yyyy")</f>
        <v>Feb-2025</v>
      </c>
      <c r="C35" s="8">
        <v>1034</v>
      </c>
      <c r="D35" s="8" t="s">
        <v>17</v>
      </c>
      <c r="E35" s="8" t="s">
        <v>18</v>
      </c>
      <c r="F35" s="8" t="s">
        <v>19</v>
      </c>
      <c r="G35" s="8">
        <v>12980</v>
      </c>
      <c r="H35" s="8">
        <v>13710</v>
      </c>
      <c r="I35" s="19">
        <f t="shared" si="1"/>
        <v>0.94675419401896421</v>
      </c>
    </row>
    <row r="36" spans="1:9" x14ac:dyDescent="0.3">
      <c r="A36" s="11">
        <v>45679</v>
      </c>
      <c r="B36" s="11" t="str">
        <f>TEXT(Table3[[#This Row],[Date]],"mmm-yyyy")</f>
        <v>Jan-2025</v>
      </c>
      <c r="C36" s="8">
        <v>1035</v>
      </c>
      <c r="D36" s="8" t="s">
        <v>23</v>
      </c>
      <c r="E36" s="8" t="s">
        <v>24</v>
      </c>
      <c r="F36" s="8" t="s">
        <v>25</v>
      </c>
      <c r="G36" s="8">
        <v>9556</v>
      </c>
      <c r="H36" s="8">
        <v>9229</v>
      </c>
      <c r="I36" s="19">
        <f t="shared" si="1"/>
        <v>1.0354317910932929</v>
      </c>
    </row>
    <row r="37" spans="1:9" x14ac:dyDescent="0.3">
      <c r="A37" s="11">
        <v>45661</v>
      </c>
      <c r="B37" s="11" t="str">
        <f>TEXT(Table3[[#This Row],[Date]],"mmm-yyyy")</f>
        <v>Jan-2025</v>
      </c>
      <c r="C37" s="8">
        <v>1036</v>
      </c>
      <c r="D37" s="8" t="s">
        <v>17</v>
      </c>
      <c r="E37" s="8" t="s">
        <v>18</v>
      </c>
      <c r="F37" s="8" t="s">
        <v>25</v>
      </c>
      <c r="G37" s="8">
        <v>8874</v>
      </c>
      <c r="H37" s="8">
        <v>9817</v>
      </c>
      <c r="I37" s="19">
        <f t="shared" si="1"/>
        <v>0.90394214118366101</v>
      </c>
    </row>
    <row r="38" spans="1:9" x14ac:dyDescent="0.3">
      <c r="A38" s="11">
        <v>45692</v>
      </c>
      <c r="B38" s="11" t="str">
        <f>TEXT(Table3[[#This Row],[Date]],"mmm-yyyy")</f>
        <v>Feb-2025</v>
      </c>
      <c r="C38" s="8">
        <v>1037</v>
      </c>
      <c r="D38" s="8" t="s">
        <v>23</v>
      </c>
      <c r="E38" s="8" t="s">
        <v>24</v>
      </c>
      <c r="F38" s="8" t="s">
        <v>25</v>
      </c>
      <c r="G38" s="8">
        <v>11697</v>
      </c>
      <c r="H38" s="8">
        <v>11211</v>
      </c>
      <c r="I38" s="19">
        <f t="shared" si="1"/>
        <v>1.0433502809740434</v>
      </c>
    </row>
    <row r="39" spans="1:9" x14ac:dyDescent="0.3">
      <c r="A39" s="11">
        <v>45704</v>
      </c>
      <c r="B39" s="11" t="str">
        <f>TEXT(Table3[[#This Row],[Date]],"mmm-yyyy")</f>
        <v>Feb-2025</v>
      </c>
      <c r="C39" s="8">
        <v>1038</v>
      </c>
      <c r="D39" s="8" t="s">
        <v>17</v>
      </c>
      <c r="E39" s="8" t="s">
        <v>18</v>
      </c>
      <c r="F39" s="8" t="s">
        <v>19</v>
      </c>
      <c r="G39" s="8">
        <v>9834</v>
      </c>
      <c r="H39" s="8">
        <v>10145</v>
      </c>
      <c r="I39" s="19">
        <f t="shared" si="1"/>
        <v>0.96934450468210942</v>
      </c>
    </row>
    <row r="40" spans="1:9" x14ac:dyDescent="0.3">
      <c r="A40" s="11">
        <v>45667</v>
      </c>
      <c r="B40" s="11" t="str">
        <f>TEXT(Table3[[#This Row],[Date]],"mmm-yyyy")</f>
        <v>Jan-2025</v>
      </c>
      <c r="C40" s="8">
        <v>1039</v>
      </c>
      <c r="D40" s="8" t="s">
        <v>20</v>
      </c>
      <c r="E40" s="8" t="s">
        <v>21</v>
      </c>
      <c r="F40" s="8" t="s">
        <v>25</v>
      </c>
      <c r="G40" s="8">
        <v>17055</v>
      </c>
      <c r="H40" s="8">
        <v>15689</v>
      </c>
      <c r="I40" s="19">
        <f t="shared" si="1"/>
        <v>1.0870673720441073</v>
      </c>
    </row>
    <row r="41" spans="1:9" x14ac:dyDescent="0.3">
      <c r="A41" s="11">
        <v>45691</v>
      </c>
      <c r="B41" s="11" t="str">
        <f>TEXT(Table3[[#This Row],[Date]],"mmm-yyyy")</f>
        <v>Feb-2025</v>
      </c>
      <c r="C41" s="8">
        <v>1040</v>
      </c>
      <c r="D41" s="8" t="s">
        <v>23</v>
      </c>
      <c r="E41" s="8" t="s">
        <v>24</v>
      </c>
      <c r="F41" s="8" t="s">
        <v>22</v>
      </c>
      <c r="G41" s="8">
        <v>6459</v>
      </c>
      <c r="H41" s="8">
        <v>7255</v>
      </c>
      <c r="I41" s="19">
        <f t="shared" si="1"/>
        <v>0.8902825637491385</v>
      </c>
    </row>
    <row r="42" spans="1:9" x14ac:dyDescent="0.3">
      <c r="A42" s="11">
        <v>45681</v>
      </c>
      <c r="B42" s="11" t="str">
        <f>TEXT(Table3[[#This Row],[Date]],"mmm-yyyy")</f>
        <v>Jan-2025</v>
      </c>
      <c r="C42" s="8">
        <v>1041</v>
      </c>
      <c r="D42" s="8" t="s">
        <v>20</v>
      </c>
      <c r="E42" s="8" t="s">
        <v>21</v>
      </c>
      <c r="F42" s="8" t="s">
        <v>22</v>
      </c>
      <c r="G42" s="8">
        <v>6365</v>
      </c>
      <c r="H42" s="8">
        <v>7374</v>
      </c>
      <c r="I42" s="19">
        <f t="shared" si="1"/>
        <v>0.8631678871711419</v>
      </c>
    </row>
    <row r="43" spans="1:9" x14ac:dyDescent="0.3">
      <c r="A43" s="11">
        <v>45659</v>
      </c>
      <c r="B43" s="11" t="str">
        <f>TEXT(Table3[[#This Row],[Date]],"mmm-yyyy")</f>
        <v>Jan-2025</v>
      </c>
      <c r="C43" s="8">
        <v>1042</v>
      </c>
      <c r="D43" s="8" t="s">
        <v>17</v>
      </c>
      <c r="E43" s="8" t="s">
        <v>18</v>
      </c>
      <c r="F43" s="8" t="s">
        <v>25</v>
      </c>
      <c r="G43" s="8">
        <v>9867</v>
      </c>
      <c r="H43" s="8">
        <v>10119</v>
      </c>
      <c r="I43" s="19">
        <f t="shared" si="1"/>
        <v>0.97509635339460421</v>
      </c>
    </row>
    <row r="44" spans="1:9" x14ac:dyDescent="0.3">
      <c r="A44" s="11">
        <v>45717</v>
      </c>
      <c r="B44" s="11" t="str">
        <f>TEXT(Table3[[#This Row],[Date]],"mmm-yyyy")</f>
        <v>Mar-2025</v>
      </c>
      <c r="C44" s="8">
        <v>1043</v>
      </c>
      <c r="D44" s="8" t="s">
        <v>27</v>
      </c>
      <c r="E44" s="8" t="s">
        <v>26</v>
      </c>
      <c r="F44" s="8" t="s">
        <v>22</v>
      </c>
      <c r="G44" s="8">
        <v>9263</v>
      </c>
      <c r="H44" s="8">
        <v>11100</v>
      </c>
      <c r="I44" s="19">
        <f t="shared" si="1"/>
        <v>0.83450450450450453</v>
      </c>
    </row>
    <row r="45" spans="1:9" x14ac:dyDescent="0.3">
      <c r="A45" s="11">
        <v>45697</v>
      </c>
      <c r="B45" s="11" t="str">
        <f>TEXT(Table3[[#This Row],[Date]],"mmm-yyyy")</f>
        <v>Feb-2025</v>
      </c>
      <c r="C45" s="8">
        <v>1044</v>
      </c>
      <c r="D45" s="8" t="s">
        <v>23</v>
      </c>
      <c r="E45" s="8" t="s">
        <v>24</v>
      </c>
      <c r="F45" s="8" t="s">
        <v>22</v>
      </c>
      <c r="G45" s="8">
        <v>6669</v>
      </c>
      <c r="H45" s="8">
        <v>7673</v>
      </c>
      <c r="I45" s="19">
        <f t="shared" si="1"/>
        <v>0.86915157044180891</v>
      </c>
    </row>
    <row r="46" spans="1:9" x14ac:dyDescent="0.3">
      <c r="A46" s="11">
        <v>45686</v>
      </c>
      <c r="B46" s="11" t="str">
        <f>TEXT(Table3[[#This Row],[Date]],"mmm-yyyy")</f>
        <v>Jan-2025</v>
      </c>
      <c r="C46" s="8">
        <v>1045</v>
      </c>
      <c r="D46" s="8" t="s">
        <v>20</v>
      </c>
      <c r="E46" s="8" t="s">
        <v>21</v>
      </c>
      <c r="F46" s="8" t="s">
        <v>22</v>
      </c>
      <c r="G46" s="8">
        <v>14682</v>
      </c>
      <c r="H46" s="8">
        <v>13381</v>
      </c>
      <c r="I46" s="19">
        <f t="shared" si="1"/>
        <v>1.0972274120020926</v>
      </c>
    </row>
    <row r="47" spans="1:9" x14ac:dyDescent="0.3">
      <c r="A47" s="11">
        <v>45691</v>
      </c>
      <c r="B47" s="11" t="str">
        <f>TEXT(Table3[[#This Row],[Date]],"mmm-yyyy")</f>
        <v>Feb-2025</v>
      </c>
      <c r="C47" s="8">
        <v>1046</v>
      </c>
      <c r="D47" s="8" t="s">
        <v>27</v>
      </c>
      <c r="E47" s="8" t="s">
        <v>26</v>
      </c>
      <c r="F47" s="8" t="s">
        <v>22</v>
      </c>
      <c r="G47" s="8">
        <v>13609</v>
      </c>
      <c r="H47" s="8">
        <v>13818</v>
      </c>
      <c r="I47" s="19">
        <f t="shared" si="1"/>
        <v>0.98487480098422353</v>
      </c>
    </row>
    <row r="48" spans="1:9" x14ac:dyDescent="0.3">
      <c r="A48" s="11">
        <v>45680</v>
      </c>
      <c r="B48" s="11" t="str">
        <f>TEXT(Table3[[#This Row],[Date]],"mmm-yyyy")</f>
        <v>Jan-2025</v>
      </c>
      <c r="C48" s="8">
        <v>1047</v>
      </c>
      <c r="D48" s="8" t="s">
        <v>17</v>
      </c>
      <c r="E48" s="8" t="s">
        <v>18</v>
      </c>
      <c r="F48" s="8" t="s">
        <v>19</v>
      </c>
      <c r="G48" s="8">
        <v>16389</v>
      </c>
      <c r="H48" s="8">
        <v>15564</v>
      </c>
      <c r="I48" s="19">
        <f t="shared" si="1"/>
        <v>1.0530069390902081</v>
      </c>
    </row>
    <row r="49" spans="1:9" x14ac:dyDescent="0.3">
      <c r="A49" s="11">
        <v>45684</v>
      </c>
      <c r="B49" s="11" t="str">
        <f>TEXT(Table3[[#This Row],[Date]],"mmm-yyyy")</f>
        <v>Jan-2025</v>
      </c>
      <c r="C49" s="8">
        <v>1048</v>
      </c>
      <c r="D49" s="8" t="s">
        <v>20</v>
      </c>
      <c r="E49" s="8" t="s">
        <v>21</v>
      </c>
      <c r="F49" s="8" t="s">
        <v>22</v>
      </c>
      <c r="G49" s="8">
        <v>8532</v>
      </c>
      <c r="H49" s="8">
        <v>10197</v>
      </c>
      <c r="I49" s="19">
        <f t="shared" si="1"/>
        <v>0.8367166813768756</v>
      </c>
    </row>
    <row r="50" spans="1:9" x14ac:dyDescent="0.3">
      <c r="A50" s="11">
        <v>45681</v>
      </c>
      <c r="B50" s="11" t="str">
        <f>TEXT(Table3[[#This Row],[Date]],"mmm-yyyy")</f>
        <v>Jan-2025</v>
      </c>
      <c r="C50" s="8">
        <v>1049</v>
      </c>
      <c r="D50" s="8" t="s">
        <v>20</v>
      </c>
      <c r="E50" s="8" t="s">
        <v>21</v>
      </c>
      <c r="F50" s="8" t="s">
        <v>19</v>
      </c>
      <c r="G50" s="8">
        <v>11620</v>
      </c>
      <c r="H50" s="8">
        <v>11402</v>
      </c>
      <c r="I50" s="19">
        <f t="shared" si="1"/>
        <v>1.0191194527275917</v>
      </c>
    </row>
    <row r="51" spans="1:9" x14ac:dyDescent="0.3">
      <c r="A51" s="11">
        <v>45680</v>
      </c>
      <c r="B51" s="11" t="str">
        <f>TEXT(Table3[[#This Row],[Date]],"mmm-yyyy")</f>
        <v>Jan-2025</v>
      </c>
      <c r="C51" s="8">
        <v>1050</v>
      </c>
      <c r="D51" s="8" t="s">
        <v>27</v>
      </c>
      <c r="E51" s="8" t="s">
        <v>26</v>
      </c>
      <c r="F51" s="8" t="s">
        <v>22</v>
      </c>
      <c r="G51" s="8">
        <v>14491</v>
      </c>
      <c r="H51" s="8">
        <v>15786</v>
      </c>
      <c r="I51" s="19">
        <f t="shared" si="1"/>
        <v>0.91796528569618652</v>
      </c>
    </row>
    <row r="52" spans="1:9" x14ac:dyDescent="0.3">
      <c r="A52" s="11">
        <v>45676</v>
      </c>
      <c r="B52" s="11" t="str">
        <f>TEXT(Table3[[#This Row],[Date]],"mmm-yyyy")</f>
        <v>Jan-2025</v>
      </c>
      <c r="C52" s="8">
        <v>1051</v>
      </c>
      <c r="D52" s="8" t="s">
        <v>27</v>
      </c>
      <c r="E52" s="8" t="s">
        <v>26</v>
      </c>
      <c r="F52" s="8" t="s">
        <v>25</v>
      </c>
      <c r="G52" s="8">
        <v>12252</v>
      </c>
      <c r="H52" s="8">
        <v>12603</v>
      </c>
      <c r="I52" s="19">
        <f t="shared" si="1"/>
        <v>0.97214948821709113</v>
      </c>
    </row>
    <row r="53" spans="1:9" x14ac:dyDescent="0.3">
      <c r="A53" s="11">
        <v>45666</v>
      </c>
      <c r="B53" s="11" t="str">
        <f>TEXT(Table3[[#This Row],[Date]],"mmm-yyyy")</f>
        <v>Jan-2025</v>
      </c>
      <c r="C53" s="8">
        <v>1052</v>
      </c>
      <c r="D53" s="8" t="s">
        <v>27</v>
      </c>
      <c r="E53" s="8" t="s">
        <v>26</v>
      </c>
      <c r="F53" s="8" t="s">
        <v>25</v>
      </c>
      <c r="G53" s="8">
        <v>13569</v>
      </c>
      <c r="H53" s="8">
        <v>14476</v>
      </c>
      <c r="I53" s="19">
        <f t="shared" si="1"/>
        <v>0.93734457032329377</v>
      </c>
    </row>
    <row r="54" spans="1:9" x14ac:dyDescent="0.3">
      <c r="A54" s="11">
        <v>45715</v>
      </c>
      <c r="B54" s="11" t="str">
        <f>TEXT(Table3[[#This Row],[Date]],"mmm-yyyy")</f>
        <v>Feb-2025</v>
      </c>
      <c r="C54" s="8">
        <v>1053</v>
      </c>
      <c r="D54" s="8" t="s">
        <v>20</v>
      </c>
      <c r="E54" s="8" t="s">
        <v>21</v>
      </c>
      <c r="F54" s="8" t="s">
        <v>25</v>
      </c>
      <c r="G54" s="8">
        <v>12841</v>
      </c>
      <c r="H54" s="8">
        <v>14142</v>
      </c>
      <c r="I54" s="19">
        <f t="shared" si="1"/>
        <v>0.90800452552679956</v>
      </c>
    </row>
    <row r="55" spans="1:9" x14ac:dyDescent="0.3">
      <c r="A55" s="11">
        <v>45695</v>
      </c>
      <c r="B55" s="11" t="str">
        <f>TEXT(Table3[[#This Row],[Date]],"mmm-yyyy")</f>
        <v>Feb-2025</v>
      </c>
      <c r="C55" s="8">
        <v>1054</v>
      </c>
      <c r="D55" s="8" t="s">
        <v>23</v>
      </c>
      <c r="E55" s="8" t="s">
        <v>24</v>
      </c>
      <c r="F55" s="8" t="s">
        <v>22</v>
      </c>
      <c r="G55" s="8">
        <v>9316</v>
      </c>
      <c r="H55" s="8">
        <v>10245</v>
      </c>
      <c r="I55" s="19">
        <f t="shared" si="1"/>
        <v>0.90932162030258668</v>
      </c>
    </row>
    <row r="56" spans="1:9" x14ac:dyDescent="0.3">
      <c r="A56" s="11">
        <v>45704</v>
      </c>
      <c r="B56" s="11" t="str">
        <f>TEXT(Table3[[#This Row],[Date]],"mmm-yyyy")</f>
        <v>Feb-2025</v>
      </c>
      <c r="C56" s="8">
        <v>1055</v>
      </c>
      <c r="D56" s="8" t="s">
        <v>27</v>
      </c>
      <c r="E56" s="8" t="s">
        <v>26</v>
      </c>
      <c r="F56" s="8" t="s">
        <v>25</v>
      </c>
      <c r="G56" s="8">
        <v>8342</v>
      </c>
      <c r="H56" s="8">
        <v>8426</v>
      </c>
      <c r="I56" s="19">
        <f t="shared" si="1"/>
        <v>0.99003085687158798</v>
      </c>
    </row>
    <row r="57" spans="1:9" x14ac:dyDescent="0.3">
      <c r="A57" s="11">
        <v>45699</v>
      </c>
      <c r="B57" s="11" t="str">
        <f>TEXT(Table3[[#This Row],[Date]],"mmm-yyyy")</f>
        <v>Feb-2025</v>
      </c>
      <c r="C57" s="8">
        <v>1056</v>
      </c>
      <c r="D57" s="8" t="s">
        <v>20</v>
      </c>
      <c r="E57" s="8" t="s">
        <v>21</v>
      </c>
      <c r="F57" s="8" t="s">
        <v>25</v>
      </c>
      <c r="G57" s="8">
        <v>6521</v>
      </c>
      <c r="H57" s="8">
        <v>7167</v>
      </c>
      <c r="I57" s="19">
        <f t="shared" si="1"/>
        <v>0.90986465745779266</v>
      </c>
    </row>
    <row r="58" spans="1:9" x14ac:dyDescent="0.3">
      <c r="A58" s="11">
        <v>45689</v>
      </c>
      <c r="B58" s="11" t="str">
        <f>TEXT(Table3[[#This Row],[Date]],"mmm-yyyy")</f>
        <v>Feb-2025</v>
      </c>
      <c r="C58" s="8">
        <v>1057</v>
      </c>
      <c r="D58" s="8" t="s">
        <v>20</v>
      </c>
      <c r="E58" s="8" t="s">
        <v>21</v>
      </c>
      <c r="F58" s="8" t="s">
        <v>25</v>
      </c>
      <c r="G58" s="8">
        <v>10388</v>
      </c>
      <c r="H58" s="8">
        <v>10844</v>
      </c>
      <c r="I58" s="19">
        <f t="shared" si="1"/>
        <v>0.95794909627443747</v>
      </c>
    </row>
    <row r="59" spans="1:9" x14ac:dyDescent="0.3">
      <c r="A59" s="11">
        <v>45661</v>
      </c>
      <c r="B59" s="11" t="str">
        <f>TEXT(Table3[[#This Row],[Date]],"mmm-yyyy")</f>
        <v>Jan-2025</v>
      </c>
      <c r="C59" s="8">
        <v>1058</v>
      </c>
      <c r="D59" s="8" t="s">
        <v>20</v>
      </c>
      <c r="E59" s="8" t="s">
        <v>21</v>
      </c>
      <c r="F59" s="8" t="s">
        <v>19</v>
      </c>
      <c r="G59" s="8">
        <v>11881</v>
      </c>
      <c r="H59" s="8">
        <v>10641</v>
      </c>
      <c r="I59" s="19">
        <f t="shared" si="1"/>
        <v>1.1165304012780755</v>
      </c>
    </row>
    <row r="60" spans="1:9" x14ac:dyDescent="0.3">
      <c r="A60" s="11">
        <v>45693</v>
      </c>
      <c r="B60" s="11" t="str">
        <f>TEXT(Table3[[#This Row],[Date]],"mmm-yyyy")</f>
        <v>Feb-2025</v>
      </c>
      <c r="C60" s="8">
        <v>1059</v>
      </c>
      <c r="D60" s="8" t="s">
        <v>27</v>
      </c>
      <c r="E60" s="8" t="s">
        <v>26</v>
      </c>
      <c r="F60" s="8" t="s">
        <v>22</v>
      </c>
      <c r="G60" s="8">
        <v>14498</v>
      </c>
      <c r="H60" s="8">
        <v>14032</v>
      </c>
      <c r="I60" s="19">
        <f t="shared" si="1"/>
        <v>1.0332098061573547</v>
      </c>
    </row>
    <row r="61" spans="1:9" x14ac:dyDescent="0.3">
      <c r="A61" s="11">
        <v>45679</v>
      </c>
      <c r="B61" s="11" t="str">
        <f>TEXT(Table3[[#This Row],[Date]],"mmm-yyyy")</f>
        <v>Jan-2025</v>
      </c>
      <c r="C61" s="8">
        <v>1060</v>
      </c>
      <c r="D61" s="8" t="s">
        <v>27</v>
      </c>
      <c r="E61" s="8" t="s">
        <v>26</v>
      </c>
      <c r="F61" s="8" t="s">
        <v>19</v>
      </c>
      <c r="G61" s="8">
        <v>7278</v>
      </c>
      <c r="H61" s="8">
        <v>7403</v>
      </c>
      <c r="I61" s="19">
        <f t="shared" si="1"/>
        <v>0.9831149533972714</v>
      </c>
    </row>
    <row r="62" spans="1:9" x14ac:dyDescent="0.3">
      <c r="A62" s="11">
        <v>45682</v>
      </c>
      <c r="B62" s="11" t="str">
        <f>TEXT(Table3[[#This Row],[Date]],"mmm-yyyy")</f>
        <v>Jan-2025</v>
      </c>
      <c r="C62" s="8">
        <v>1061</v>
      </c>
      <c r="D62" s="8" t="s">
        <v>27</v>
      </c>
      <c r="E62" s="8" t="s">
        <v>26</v>
      </c>
      <c r="F62" s="8" t="s">
        <v>19</v>
      </c>
      <c r="G62" s="8">
        <v>11682</v>
      </c>
      <c r="H62" s="8">
        <v>11169</v>
      </c>
      <c r="I62" s="19">
        <f t="shared" si="1"/>
        <v>1.0459307010475423</v>
      </c>
    </row>
    <row r="63" spans="1:9" x14ac:dyDescent="0.3">
      <c r="A63" s="11">
        <v>45683</v>
      </c>
      <c r="B63" s="11" t="str">
        <f>TEXT(Table3[[#This Row],[Date]],"mmm-yyyy")</f>
        <v>Jan-2025</v>
      </c>
      <c r="C63" s="8">
        <v>1062</v>
      </c>
      <c r="D63" s="8" t="s">
        <v>20</v>
      </c>
      <c r="E63" s="8" t="s">
        <v>21</v>
      </c>
      <c r="F63" s="8" t="s">
        <v>25</v>
      </c>
      <c r="G63" s="8">
        <v>9032</v>
      </c>
      <c r="H63" s="8">
        <v>9311</v>
      </c>
      <c r="I63" s="19">
        <f t="shared" si="1"/>
        <v>0.97003544195038127</v>
      </c>
    </row>
    <row r="64" spans="1:9" x14ac:dyDescent="0.3">
      <c r="A64" s="11">
        <v>45659</v>
      </c>
      <c r="B64" s="11" t="str">
        <f>TEXT(Table3[[#This Row],[Date]],"mmm-yyyy")</f>
        <v>Jan-2025</v>
      </c>
      <c r="C64" s="8">
        <v>1063</v>
      </c>
      <c r="D64" s="8" t="s">
        <v>17</v>
      </c>
      <c r="E64" s="8" t="s">
        <v>18</v>
      </c>
      <c r="F64" s="8" t="s">
        <v>22</v>
      </c>
      <c r="G64" s="8">
        <v>9700</v>
      </c>
      <c r="H64" s="8">
        <v>8733</v>
      </c>
      <c r="I64" s="19">
        <f t="shared" si="1"/>
        <v>1.1107294171533264</v>
      </c>
    </row>
    <row r="65" spans="1:9" x14ac:dyDescent="0.3">
      <c r="A65" s="11">
        <v>45705</v>
      </c>
      <c r="B65" s="11" t="str">
        <f>TEXT(Table3[[#This Row],[Date]],"mmm-yyyy")</f>
        <v>Feb-2025</v>
      </c>
      <c r="C65" s="8">
        <v>1064</v>
      </c>
      <c r="D65" s="8" t="s">
        <v>23</v>
      </c>
      <c r="E65" s="8" t="s">
        <v>24</v>
      </c>
      <c r="F65" s="8" t="s">
        <v>19</v>
      </c>
      <c r="G65" s="8">
        <v>12088</v>
      </c>
      <c r="H65" s="8">
        <v>13865</v>
      </c>
      <c r="I65" s="19">
        <f t="shared" si="1"/>
        <v>0.87183555715831229</v>
      </c>
    </row>
    <row r="66" spans="1:9" x14ac:dyDescent="0.3">
      <c r="A66" s="11">
        <v>45685</v>
      </c>
      <c r="B66" s="11" t="str">
        <f>TEXT(Table3[[#This Row],[Date]],"mmm-yyyy")</f>
        <v>Jan-2025</v>
      </c>
      <c r="C66" s="8">
        <v>1065</v>
      </c>
      <c r="D66" s="8" t="s">
        <v>23</v>
      </c>
      <c r="E66" s="8" t="s">
        <v>24</v>
      </c>
      <c r="F66" s="8" t="s">
        <v>22</v>
      </c>
      <c r="G66" s="8">
        <v>11935</v>
      </c>
      <c r="H66" s="8">
        <v>13366</v>
      </c>
      <c r="I66" s="19">
        <f t="shared" ref="I66:I71" si="2">IF(H66=0,0,G66/H66)</f>
        <v>0.89293730360616486</v>
      </c>
    </row>
    <row r="67" spans="1:9" x14ac:dyDescent="0.3">
      <c r="A67" s="11">
        <v>45705</v>
      </c>
      <c r="B67" s="11" t="str">
        <f>TEXT(Table3[[#This Row],[Date]],"mmm-yyyy")</f>
        <v>Feb-2025</v>
      </c>
      <c r="C67" s="8">
        <v>1066</v>
      </c>
      <c r="D67" s="8" t="s">
        <v>23</v>
      </c>
      <c r="E67" s="8" t="s">
        <v>24</v>
      </c>
      <c r="F67" s="8" t="s">
        <v>19</v>
      </c>
      <c r="G67" s="8">
        <v>12919</v>
      </c>
      <c r="H67" s="8">
        <v>13827</v>
      </c>
      <c r="I67" s="19">
        <f t="shared" si="2"/>
        <v>0.93433138063209664</v>
      </c>
    </row>
    <row r="68" spans="1:9" x14ac:dyDescent="0.3">
      <c r="A68" s="11">
        <v>45670</v>
      </c>
      <c r="B68" s="11" t="str">
        <f>TEXT(Table3[[#This Row],[Date]],"mmm-yyyy")</f>
        <v>Jan-2025</v>
      </c>
      <c r="C68" s="8">
        <v>1067</v>
      </c>
      <c r="D68" s="8" t="s">
        <v>27</v>
      </c>
      <c r="E68" s="8" t="s">
        <v>26</v>
      </c>
      <c r="F68" s="8" t="s">
        <v>19</v>
      </c>
      <c r="G68" s="8">
        <v>12755</v>
      </c>
      <c r="H68" s="8">
        <v>12437</v>
      </c>
      <c r="I68" s="19">
        <f t="shared" si="2"/>
        <v>1.0255688670901342</v>
      </c>
    </row>
    <row r="69" spans="1:9" x14ac:dyDescent="0.3">
      <c r="A69" s="11">
        <v>45671</v>
      </c>
      <c r="B69" s="11" t="str">
        <f>TEXT(Table3[[#This Row],[Date]],"mmm-yyyy")</f>
        <v>Jan-2025</v>
      </c>
      <c r="C69" s="8">
        <v>1068</v>
      </c>
      <c r="D69" s="8" t="s">
        <v>23</v>
      </c>
      <c r="E69" s="8" t="s">
        <v>24</v>
      </c>
      <c r="F69" s="8" t="s">
        <v>22</v>
      </c>
      <c r="G69" s="8">
        <v>15591</v>
      </c>
      <c r="H69" s="8">
        <v>15436</v>
      </c>
      <c r="I69" s="19">
        <f t="shared" si="2"/>
        <v>1.010041461518528</v>
      </c>
    </row>
    <row r="70" spans="1:9" x14ac:dyDescent="0.3">
      <c r="A70" s="11">
        <v>45667</v>
      </c>
      <c r="B70" s="11" t="str">
        <f>TEXT(Table3[[#This Row],[Date]],"mmm-yyyy")</f>
        <v>Jan-2025</v>
      </c>
      <c r="C70" s="8">
        <v>1069</v>
      </c>
      <c r="D70" s="8" t="s">
        <v>27</v>
      </c>
      <c r="E70" s="8" t="s">
        <v>26</v>
      </c>
      <c r="F70" s="8" t="s">
        <v>25</v>
      </c>
      <c r="G70" s="8">
        <v>13124</v>
      </c>
      <c r="H70" s="8">
        <v>13585</v>
      </c>
      <c r="I70" s="19">
        <f t="shared" si="2"/>
        <v>0.96606551343393454</v>
      </c>
    </row>
    <row r="71" spans="1:9" x14ac:dyDescent="0.3">
      <c r="A71" s="11">
        <v>45674</v>
      </c>
      <c r="B71" s="11" t="str">
        <f>TEXT(Table3[[#This Row],[Date]],"mmm-yyyy")</f>
        <v>Jan-2025</v>
      </c>
      <c r="C71" s="8">
        <v>1070</v>
      </c>
      <c r="D71" s="8" t="s">
        <v>20</v>
      </c>
      <c r="E71" s="8" t="s">
        <v>21</v>
      </c>
      <c r="F71" s="8" t="s">
        <v>22</v>
      </c>
      <c r="G71" s="8">
        <v>15469</v>
      </c>
      <c r="H71" s="8">
        <v>14463</v>
      </c>
      <c r="I71" s="19">
        <f t="shared" si="2"/>
        <v>1.069556800110627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FDF1-0187-45F7-BE6B-68E87DE35810}">
  <dimension ref="A1:C19"/>
  <sheetViews>
    <sheetView workbookViewId="0">
      <selection activeCell="F24" sqref="F24"/>
    </sheetView>
  </sheetViews>
  <sheetFormatPr defaultRowHeight="14.4" x14ac:dyDescent="0.3"/>
  <cols>
    <col min="1" max="1" width="13.88671875" style="8" bestFit="1" customWidth="1"/>
    <col min="2" max="2" width="11.6640625" style="8" bestFit="1" customWidth="1"/>
    <col min="3" max="3" width="16.77734375" style="8" customWidth="1"/>
  </cols>
  <sheetData>
    <row r="1" spans="1:3" s="30" customFormat="1" ht="15.6" x14ac:dyDescent="0.3">
      <c r="A1" s="8"/>
      <c r="B1" s="8"/>
    </row>
    <row r="3" spans="1:3" s="28" customFormat="1" x14ac:dyDescent="0.3">
      <c r="A3" s="28" t="s">
        <v>105</v>
      </c>
      <c r="B3" s="28" t="s">
        <v>14</v>
      </c>
      <c r="C3" s="28" t="s">
        <v>106</v>
      </c>
    </row>
    <row r="5" spans="1:3" x14ac:dyDescent="0.3">
      <c r="A5" s="8" t="s">
        <v>107</v>
      </c>
      <c r="B5" s="8" t="s">
        <v>108</v>
      </c>
      <c r="C5" s="8">
        <v>80000</v>
      </c>
    </row>
    <row r="6" spans="1:3" x14ac:dyDescent="0.3">
      <c r="A6" s="8" t="s">
        <v>107</v>
      </c>
      <c r="B6" s="8" t="s">
        <v>109</v>
      </c>
      <c r="C6" s="29">
        <v>82000</v>
      </c>
    </row>
    <row r="7" spans="1:3" x14ac:dyDescent="0.3">
      <c r="A7" s="8" t="s">
        <v>107</v>
      </c>
      <c r="B7" s="8" t="s">
        <v>110</v>
      </c>
      <c r="C7" s="29">
        <v>82000</v>
      </c>
    </row>
    <row r="9" spans="1:3" x14ac:dyDescent="0.3">
      <c r="A9" s="8" t="s">
        <v>17</v>
      </c>
      <c r="B9" s="8" t="s">
        <v>108</v>
      </c>
      <c r="C9" s="8">
        <v>42000</v>
      </c>
    </row>
    <row r="10" spans="1:3" x14ac:dyDescent="0.3">
      <c r="A10" s="8" t="s">
        <v>17</v>
      </c>
      <c r="B10" s="8" t="s">
        <v>109</v>
      </c>
      <c r="C10" s="8">
        <v>20000</v>
      </c>
    </row>
    <row r="11" spans="1:3" x14ac:dyDescent="0.3">
      <c r="A11" s="8" t="s">
        <v>17</v>
      </c>
      <c r="B11" s="8" t="s">
        <v>110</v>
      </c>
      <c r="C11" s="8">
        <v>85000</v>
      </c>
    </row>
    <row r="13" spans="1:3" x14ac:dyDescent="0.3">
      <c r="A13" s="8" t="s">
        <v>23</v>
      </c>
      <c r="B13" s="8" t="s">
        <v>108</v>
      </c>
      <c r="C13" s="8">
        <v>62000</v>
      </c>
    </row>
    <row r="14" spans="1:3" x14ac:dyDescent="0.3">
      <c r="A14" s="8" t="s">
        <v>23</v>
      </c>
      <c r="B14" s="8" t="s">
        <v>109</v>
      </c>
      <c r="C14" s="8">
        <v>87000</v>
      </c>
    </row>
    <row r="15" spans="1:3" x14ac:dyDescent="0.3">
      <c r="A15" s="8" t="s">
        <v>23</v>
      </c>
      <c r="B15" s="8" t="s">
        <v>110</v>
      </c>
      <c r="C15" s="8">
        <v>45000</v>
      </c>
    </row>
    <row r="17" spans="1:3" x14ac:dyDescent="0.3">
      <c r="A17" s="8" t="s">
        <v>20</v>
      </c>
      <c r="B17" s="8" t="s">
        <v>108</v>
      </c>
      <c r="C17" s="8">
        <v>83000</v>
      </c>
    </row>
    <row r="18" spans="1:3" x14ac:dyDescent="0.3">
      <c r="A18" s="8" t="s">
        <v>20</v>
      </c>
      <c r="B18" s="8" t="s">
        <v>109</v>
      </c>
      <c r="C18" s="8">
        <v>78000</v>
      </c>
    </row>
    <row r="19" spans="1:3" x14ac:dyDescent="0.3">
      <c r="A19" s="8" t="s">
        <v>20</v>
      </c>
      <c r="B19" s="8" t="s">
        <v>110</v>
      </c>
      <c r="C19" s="8">
        <v>79000</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5E83-CBC4-4E49-B5A0-DC50F519333B}">
  <dimension ref="A1:K41"/>
  <sheetViews>
    <sheetView tabSelected="1" workbookViewId="0">
      <selection activeCell="K4" sqref="K4"/>
    </sheetView>
  </sheetViews>
  <sheetFormatPr defaultRowHeight="14.4" x14ac:dyDescent="0.3"/>
  <cols>
    <col min="1" max="1" width="10.33203125" style="8" bestFit="1" customWidth="1"/>
    <col min="2" max="2" width="11.6640625" style="14" bestFit="1" customWidth="1"/>
    <col min="3" max="3" width="10.33203125" style="13" bestFit="1" customWidth="1"/>
    <col min="4" max="4" width="11.6640625" bestFit="1" customWidth="1"/>
    <col min="5" max="6" width="12.77734375" bestFit="1" customWidth="1"/>
  </cols>
  <sheetData>
    <row r="1" spans="1:5" x14ac:dyDescent="0.3">
      <c r="A1" s="9" t="s">
        <v>35</v>
      </c>
      <c r="B1" s="9" t="s">
        <v>36</v>
      </c>
      <c r="C1" s="10" t="s">
        <v>10</v>
      </c>
      <c r="D1" s="14" t="s">
        <v>29</v>
      </c>
      <c r="E1" t="s">
        <v>30</v>
      </c>
    </row>
    <row r="2" spans="1:5" x14ac:dyDescent="0.3">
      <c r="A2" t="s">
        <v>37</v>
      </c>
      <c r="B2" t="s">
        <v>38</v>
      </c>
      <c r="C2" s="11">
        <v>45659</v>
      </c>
      <c r="D2" s="14">
        <v>19567</v>
      </c>
      <c r="E2" s="8">
        <v>18852</v>
      </c>
    </row>
    <row r="3" spans="1:5" x14ac:dyDescent="0.3">
      <c r="A3"/>
      <c r="B3" t="s">
        <v>39</v>
      </c>
      <c r="C3" s="11">
        <v>45660</v>
      </c>
      <c r="D3" s="14">
        <v>11981</v>
      </c>
      <c r="E3" s="8">
        <v>11848</v>
      </c>
    </row>
    <row r="4" spans="1:5" x14ac:dyDescent="0.3">
      <c r="A4"/>
      <c r="B4" t="s">
        <v>40</v>
      </c>
      <c r="C4" s="11">
        <v>45661</v>
      </c>
      <c r="D4" s="14">
        <v>20755</v>
      </c>
      <c r="E4" s="8">
        <v>20458</v>
      </c>
    </row>
    <row r="5" spans="1:5" x14ac:dyDescent="0.3">
      <c r="A5"/>
      <c r="B5" t="s">
        <v>41</v>
      </c>
      <c r="C5" s="11">
        <v>45662</v>
      </c>
      <c r="D5" s="14">
        <v>10890</v>
      </c>
      <c r="E5" s="8">
        <v>9537</v>
      </c>
    </row>
    <row r="6" spans="1:5" x14ac:dyDescent="0.3">
      <c r="A6"/>
      <c r="B6" t="s">
        <v>42</v>
      </c>
      <c r="C6" s="11">
        <v>45663</v>
      </c>
      <c r="D6" s="14">
        <v>8603</v>
      </c>
      <c r="E6" s="8">
        <v>9097</v>
      </c>
    </row>
    <row r="7" spans="1:5" x14ac:dyDescent="0.3">
      <c r="A7"/>
      <c r="B7" t="s">
        <v>43</v>
      </c>
      <c r="C7" s="11">
        <v>45666</v>
      </c>
      <c r="D7" s="14">
        <v>35078</v>
      </c>
      <c r="E7" s="8">
        <v>37107</v>
      </c>
    </row>
    <row r="8" spans="1:5" x14ac:dyDescent="0.3">
      <c r="A8"/>
      <c r="B8" t="s">
        <v>44</v>
      </c>
      <c r="C8" s="11">
        <v>45667</v>
      </c>
      <c r="D8" s="14">
        <v>30179</v>
      </c>
      <c r="E8" s="8">
        <v>29274</v>
      </c>
    </row>
    <row r="9" spans="1:5" x14ac:dyDescent="0.3">
      <c r="A9"/>
      <c r="B9" t="s">
        <v>45</v>
      </c>
      <c r="C9" s="11">
        <v>45668</v>
      </c>
      <c r="D9" s="14">
        <v>11916</v>
      </c>
      <c r="E9" s="8">
        <v>13569</v>
      </c>
    </row>
    <row r="10" spans="1:5" x14ac:dyDescent="0.3">
      <c r="A10"/>
      <c r="B10" t="s">
        <v>46</v>
      </c>
      <c r="C10" s="11">
        <v>45669</v>
      </c>
      <c r="D10" s="14">
        <v>14995</v>
      </c>
      <c r="E10" s="8">
        <v>15043</v>
      </c>
    </row>
    <row r="11" spans="1:5" x14ac:dyDescent="0.3">
      <c r="A11"/>
      <c r="B11" t="s">
        <v>47</v>
      </c>
      <c r="C11" s="11">
        <v>45670</v>
      </c>
      <c r="D11" s="14">
        <v>12755</v>
      </c>
      <c r="E11" s="8">
        <v>12437</v>
      </c>
    </row>
    <row r="12" spans="1:5" x14ac:dyDescent="0.3">
      <c r="A12"/>
      <c r="B12" t="s">
        <v>48</v>
      </c>
      <c r="C12" s="11">
        <v>45671</v>
      </c>
      <c r="D12" s="14">
        <v>24865</v>
      </c>
      <c r="E12" s="8">
        <v>24148</v>
      </c>
    </row>
    <row r="13" spans="1:5" x14ac:dyDescent="0.3">
      <c r="A13"/>
      <c r="B13" t="s">
        <v>49</v>
      </c>
      <c r="C13" s="11">
        <v>45672</v>
      </c>
      <c r="D13" s="14">
        <v>9290</v>
      </c>
      <c r="E13" s="8">
        <v>9482</v>
      </c>
    </row>
    <row r="14" spans="1:5" x14ac:dyDescent="0.3">
      <c r="A14"/>
      <c r="B14" t="s">
        <v>50</v>
      </c>
      <c r="C14" s="11">
        <v>45674</v>
      </c>
      <c r="D14" s="14">
        <v>15469</v>
      </c>
      <c r="E14" s="8">
        <v>14463</v>
      </c>
    </row>
    <row r="15" spans="1:5" x14ac:dyDescent="0.3">
      <c r="A15"/>
      <c r="B15" t="s">
        <v>51</v>
      </c>
      <c r="C15" s="11">
        <v>45676</v>
      </c>
      <c r="D15" s="14">
        <v>12252</v>
      </c>
      <c r="E15" s="8">
        <v>12603</v>
      </c>
    </row>
    <row r="16" spans="1:5" x14ac:dyDescent="0.3">
      <c r="A16"/>
      <c r="B16" t="s">
        <v>52</v>
      </c>
      <c r="C16" s="11">
        <v>45679</v>
      </c>
      <c r="D16" s="14">
        <v>22135</v>
      </c>
      <c r="E16" s="8">
        <v>23780</v>
      </c>
    </row>
    <row r="17" spans="1:11" x14ac:dyDescent="0.3">
      <c r="A17"/>
      <c r="B17" t="s">
        <v>53</v>
      </c>
      <c r="C17" s="11">
        <v>45680</v>
      </c>
      <c r="D17" s="14">
        <v>42577</v>
      </c>
      <c r="E17" s="8">
        <v>43186</v>
      </c>
    </row>
    <row r="18" spans="1:11" x14ac:dyDescent="0.3">
      <c r="A18"/>
      <c r="B18" t="s">
        <v>54</v>
      </c>
      <c r="C18" s="11">
        <v>45681</v>
      </c>
      <c r="D18" s="14">
        <v>24369</v>
      </c>
      <c r="E18" s="8">
        <v>26525</v>
      </c>
    </row>
    <row r="19" spans="1:11" x14ac:dyDescent="0.3">
      <c r="A19"/>
      <c r="B19" t="s">
        <v>55</v>
      </c>
      <c r="C19" s="11">
        <v>45682</v>
      </c>
      <c r="D19" s="14">
        <v>24075</v>
      </c>
      <c r="E19" s="8">
        <v>25120</v>
      </c>
    </row>
    <row r="20" spans="1:11" x14ac:dyDescent="0.3">
      <c r="A20"/>
      <c r="B20" t="s">
        <v>56</v>
      </c>
      <c r="C20" s="11">
        <v>45683</v>
      </c>
      <c r="D20" s="14">
        <v>21092</v>
      </c>
      <c r="E20" s="8">
        <v>20188</v>
      </c>
    </row>
    <row r="21" spans="1:11" x14ac:dyDescent="0.3">
      <c r="A21"/>
      <c r="B21" t="s">
        <v>57</v>
      </c>
      <c r="C21" s="11">
        <v>45684</v>
      </c>
      <c r="D21" s="14">
        <v>15633</v>
      </c>
      <c r="E21" s="8">
        <v>19289</v>
      </c>
    </row>
    <row r="22" spans="1:11" x14ac:dyDescent="0.3">
      <c r="A22"/>
      <c r="B22" t="s">
        <v>58</v>
      </c>
      <c r="C22" s="11">
        <v>45685</v>
      </c>
      <c r="D22" s="14">
        <v>23704</v>
      </c>
      <c r="E22" s="8">
        <v>23932</v>
      </c>
    </row>
    <row r="23" spans="1:11" x14ac:dyDescent="0.3">
      <c r="A23"/>
      <c r="B23" t="s">
        <v>59</v>
      </c>
      <c r="C23" s="11">
        <v>45686</v>
      </c>
      <c r="D23" s="14">
        <v>21742</v>
      </c>
      <c r="E23" s="8">
        <v>21750</v>
      </c>
    </row>
    <row r="24" spans="1:11" x14ac:dyDescent="0.3">
      <c r="A24" t="s">
        <v>60</v>
      </c>
      <c r="B24" t="s">
        <v>61</v>
      </c>
      <c r="C24" s="11">
        <v>45689</v>
      </c>
      <c r="D24" s="14">
        <v>32248</v>
      </c>
      <c r="E24" s="8">
        <v>32474</v>
      </c>
    </row>
    <row r="25" spans="1:11" x14ac:dyDescent="0.3">
      <c r="A25"/>
      <c r="B25" t="s">
        <v>62</v>
      </c>
      <c r="C25" s="11">
        <v>45691</v>
      </c>
      <c r="D25" s="14">
        <v>31700</v>
      </c>
      <c r="E25" s="8">
        <v>31694</v>
      </c>
    </row>
    <row r="26" spans="1:11" x14ac:dyDescent="0.3">
      <c r="A26"/>
      <c r="B26" t="s">
        <v>63</v>
      </c>
      <c r="C26" s="11">
        <v>45692</v>
      </c>
      <c r="D26" s="14">
        <v>21215</v>
      </c>
      <c r="E26" s="8">
        <v>22048</v>
      </c>
    </row>
    <row r="27" spans="1:11" x14ac:dyDescent="0.3">
      <c r="A27"/>
      <c r="B27" t="s">
        <v>64</v>
      </c>
      <c r="C27" s="11">
        <v>45693</v>
      </c>
      <c r="D27" s="14">
        <v>14498</v>
      </c>
      <c r="E27" s="8">
        <v>14032</v>
      </c>
    </row>
    <row r="28" spans="1:11" ht="15.6" x14ac:dyDescent="0.3">
      <c r="A28"/>
      <c r="B28" t="s">
        <v>65</v>
      </c>
      <c r="C28" s="11">
        <v>45694</v>
      </c>
      <c r="D28" s="14">
        <v>10054</v>
      </c>
      <c r="E28" s="8">
        <v>9617</v>
      </c>
      <c r="K28" s="15"/>
    </row>
    <row r="29" spans="1:11" x14ac:dyDescent="0.3">
      <c r="A29"/>
      <c r="B29" t="s">
        <v>66</v>
      </c>
      <c r="C29" s="11">
        <v>45695</v>
      </c>
      <c r="D29" s="14">
        <v>29724</v>
      </c>
      <c r="E29" s="8">
        <v>34004</v>
      </c>
    </row>
    <row r="30" spans="1:11" x14ac:dyDescent="0.3">
      <c r="A30"/>
      <c r="B30" t="s">
        <v>67</v>
      </c>
      <c r="C30" s="11">
        <v>45696</v>
      </c>
      <c r="D30" s="14">
        <v>13206</v>
      </c>
      <c r="E30" s="8">
        <v>11993</v>
      </c>
    </row>
    <row r="31" spans="1:11" x14ac:dyDescent="0.3">
      <c r="A31"/>
      <c r="B31" t="s">
        <v>68</v>
      </c>
      <c r="C31" s="11">
        <v>45697</v>
      </c>
      <c r="D31" s="14">
        <v>6669</v>
      </c>
      <c r="E31" s="8">
        <v>7673</v>
      </c>
    </row>
    <row r="32" spans="1:11" x14ac:dyDescent="0.3">
      <c r="A32"/>
      <c r="B32" t="s">
        <v>69</v>
      </c>
      <c r="C32" s="11">
        <v>45699</v>
      </c>
      <c r="D32" s="14">
        <v>6521</v>
      </c>
      <c r="E32" s="8">
        <v>7167</v>
      </c>
    </row>
    <row r="33" spans="1:5" x14ac:dyDescent="0.3">
      <c r="A33"/>
      <c r="B33" t="s">
        <v>70</v>
      </c>
      <c r="C33" s="11">
        <v>45700</v>
      </c>
      <c r="D33" s="14">
        <v>17763</v>
      </c>
      <c r="E33" s="8">
        <v>17139</v>
      </c>
    </row>
    <row r="34" spans="1:5" x14ac:dyDescent="0.3">
      <c r="A34"/>
      <c r="B34" t="s">
        <v>71</v>
      </c>
      <c r="C34" s="11">
        <v>45701</v>
      </c>
      <c r="D34" s="14">
        <v>15528</v>
      </c>
      <c r="E34" s="8">
        <v>15128</v>
      </c>
    </row>
    <row r="35" spans="1:5" x14ac:dyDescent="0.3">
      <c r="A35"/>
      <c r="B35" t="s">
        <v>72</v>
      </c>
      <c r="C35" s="11">
        <v>45704</v>
      </c>
      <c r="D35" s="14">
        <v>18176</v>
      </c>
      <c r="E35" s="8">
        <v>18571</v>
      </c>
    </row>
    <row r="36" spans="1:5" x14ac:dyDescent="0.3">
      <c r="A36"/>
      <c r="B36" t="s">
        <v>73</v>
      </c>
      <c r="C36" s="11">
        <v>45705</v>
      </c>
      <c r="D36" s="14">
        <v>39749</v>
      </c>
      <c r="E36" s="8">
        <v>42281</v>
      </c>
    </row>
    <row r="37" spans="1:5" x14ac:dyDescent="0.3">
      <c r="A37"/>
      <c r="B37" t="s">
        <v>74</v>
      </c>
      <c r="C37" s="11">
        <v>45708</v>
      </c>
      <c r="D37" s="14">
        <v>10720</v>
      </c>
      <c r="E37" s="8">
        <v>10939</v>
      </c>
    </row>
    <row r="38" spans="1:5" x14ac:dyDescent="0.3">
      <c r="A38"/>
      <c r="B38" t="s">
        <v>75</v>
      </c>
      <c r="C38" s="11">
        <v>45712</v>
      </c>
      <c r="D38" s="14">
        <v>8795</v>
      </c>
      <c r="E38" s="8">
        <v>9520</v>
      </c>
    </row>
    <row r="39" spans="1:5" x14ac:dyDescent="0.3">
      <c r="A39"/>
      <c r="B39" t="s">
        <v>76</v>
      </c>
      <c r="C39" s="11">
        <v>45714</v>
      </c>
      <c r="D39" s="14">
        <v>11538</v>
      </c>
      <c r="E39" s="8">
        <v>12383</v>
      </c>
    </row>
    <row r="40" spans="1:5" x14ac:dyDescent="0.3">
      <c r="A40"/>
      <c r="B40" t="s">
        <v>77</v>
      </c>
      <c r="C40" s="11">
        <v>45715</v>
      </c>
      <c r="D40" s="14">
        <v>28632</v>
      </c>
      <c r="E40" s="8">
        <v>28582</v>
      </c>
    </row>
    <row r="41" spans="1:5" x14ac:dyDescent="0.3">
      <c r="A41" t="s">
        <v>78</v>
      </c>
      <c r="B41" t="s">
        <v>79</v>
      </c>
      <c r="C41" s="11">
        <v>45717</v>
      </c>
      <c r="D41" s="14">
        <v>9263</v>
      </c>
      <c r="E41" s="8">
        <v>11100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5EB1-49DC-4B3D-89F2-C7225CB82B9C}">
  <dimension ref="A1:D6"/>
  <sheetViews>
    <sheetView workbookViewId="0">
      <selection activeCell="B21" sqref="B21"/>
    </sheetView>
  </sheetViews>
  <sheetFormatPr defaultRowHeight="14.4" x14ac:dyDescent="0.3"/>
  <cols>
    <col min="1" max="1" width="12.5546875" bestFit="1" customWidth="1"/>
    <col min="2" max="2" width="11.6640625" style="13" bestFit="1" customWidth="1"/>
    <col min="3" max="3" width="12.77734375" style="13" bestFit="1" customWidth="1"/>
    <col min="4" max="4" width="15.109375" style="12" bestFit="1" customWidth="1"/>
    <col min="5" max="5" width="20.6640625" bestFit="1" customWidth="1"/>
  </cols>
  <sheetData>
    <row r="1" spans="1:4" x14ac:dyDescent="0.3">
      <c r="A1" s="9" t="s">
        <v>28</v>
      </c>
      <c r="B1" s="13" t="s">
        <v>29</v>
      </c>
      <c r="C1" s="13" t="s">
        <v>30</v>
      </c>
      <c r="D1" t="s">
        <v>82</v>
      </c>
    </row>
    <row r="2" spans="1:4" x14ac:dyDescent="0.3">
      <c r="A2" s="7" t="s">
        <v>27</v>
      </c>
      <c r="B2" s="13">
        <v>223925</v>
      </c>
      <c r="C2" s="13">
        <v>236774</v>
      </c>
      <c r="D2" s="12">
        <v>0.94013502373193469</v>
      </c>
    </row>
    <row r="3" spans="1:4" x14ac:dyDescent="0.3">
      <c r="A3" s="7" t="s">
        <v>17</v>
      </c>
      <c r="B3" s="13">
        <v>135147</v>
      </c>
      <c r="C3" s="13">
        <v>135089</v>
      </c>
      <c r="D3" s="12">
        <v>1.0067456164784174</v>
      </c>
    </row>
    <row r="4" spans="1:4" x14ac:dyDescent="0.3">
      <c r="A4" s="7" t="s">
        <v>23</v>
      </c>
      <c r="B4" s="13">
        <v>179262</v>
      </c>
      <c r="C4" s="13">
        <v>183318</v>
      </c>
      <c r="D4" s="12">
        <v>0.97903574037157648</v>
      </c>
    </row>
    <row r="5" spans="1:4" x14ac:dyDescent="0.3">
      <c r="A5" s="7" t="s">
        <v>20</v>
      </c>
      <c r="B5" s="13">
        <v>221587</v>
      </c>
      <c r="C5" s="13">
        <v>222852</v>
      </c>
      <c r="D5" s="12">
        <v>0.98162672437444198</v>
      </c>
    </row>
    <row r="6" spans="1:4" x14ac:dyDescent="0.3">
      <c r="A6" s="7" t="s">
        <v>85</v>
      </c>
      <c r="B6" s="13">
        <v>759921</v>
      </c>
      <c r="C6" s="13">
        <v>778033</v>
      </c>
      <c r="D6" s="12">
        <v>0.97285607099881855</v>
      </c>
    </row>
  </sheetData>
  <conditionalFormatting pivot="1" sqref="D2:D5">
    <cfRule type="cellIs" dxfId="24" priority="4" operator="lessThan">
      <formula>0.9</formula>
    </cfRule>
  </conditionalFormatting>
  <conditionalFormatting pivot="1" sqref="D2:D5">
    <cfRule type="cellIs" dxfId="23" priority="3" operator="greaterThan">
      <formula>1</formula>
    </cfRule>
  </conditionalFormatting>
  <conditionalFormatting pivot="1" sqref="D2:D5">
    <cfRule type="cellIs" dxfId="22" priority="2" operator="between">
      <formula>0.9</formula>
      <formula>1</formula>
    </cfRule>
  </conditionalFormatting>
  <conditionalFormatting pivot="1" sqref="D2:D5">
    <cfRule type="cellIs" dxfId="21" priority="1" operator="between">
      <formula>0.9</formula>
      <formula>1</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0CF4-2F8E-4C39-AF0E-7F016C45B26A}">
  <dimension ref="A1:D5"/>
  <sheetViews>
    <sheetView workbookViewId="0">
      <selection activeCell="E27" sqref="E27"/>
    </sheetView>
  </sheetViews>
  <sheetFormatPr defaultRowHeight="14.4" x14ac:dyDescent="0.3"/>
  <cols>
    <col min="1" max="1" width="12.5546875" bestFit="1" customWidth="1"/>
    <col min="2" max="2" width="11.6640625" style="13" bestFit="1" customWidth="1"/>
    <col min="3" max="3" width="12.77734375" style="13" bestFit="1" customWidth="1"/>
    <col min="4" max="4" width="15.109375" style="12" bestFit="1" customWidth="1"/>
  </cols>
  <sheetData>
    <row r="1" spans="1:4" x14ac:dyDescent="0.3">
      <c r="A1" s="9" t="s">
        <v>28</v>
      </c>
      <c r="B1" s="13" t="s">
        <v>29</v>
      </c>
      <c r="C1" s="13" t="s">
        <v>30</v>
      </c>
      <c r="D1" t="s">
        <v>83</v>
      </c>
    </row>
    <row r="2" spans="1:4" x14ac:dyDescent="0.3">
      <c r="A2" s="7" t="s">
        <v>25</v>
      </c>
      <c r="B2" s="13">
        <v>245462</v>
      </c>
      <c r="C2" s="13">
        <v>254986</v>
      </c>
      <c r="D2" s="12">
        <v>0.96113039638739606</v>
      </c>
    </row>
    <row r="3" spans="1:4" x14ac:dyDescent="0.3">
      <c r="A3" s="7" t="s">
        <v>22</v>
      </c>
      <c r="B3" s="13">
        <v>245210</v>
      </c>
      <c r="C3" s="13">
        <v>248894</v>
      </c>
      <c r="D3" s="12">
        <v>0.98305184346807295</v>
      </c>
    </row>
    <row r="4" spans="1:4" x14ac:dyDescent="0.3">
      <c r="A4" s="7" t="s">
        <v>19</v>
      </c>
      <c r="B4" s="13">
        <v>269249</v>
      </c>
      <c r="C4" s="13">
        <v>274153</v>
      </c>
      <c r="D4" s="12">
        <v>0.97467141186838258</v>
      </c>
    </row>
    <row r="5" spans="1:4" x14ac:dyDescent="0.3">
      <c r="A5" s="7" t="s">
        <v>85</v>
      </c>
      <c r="B5" s="13">
        <v>759921</v>
      </c>
      <c r="C5" s="13">
        <v>778033</v>
      </c>
      <c r="D5" s="12">
        <v>0.9728560709988181</v>
      </c>
    </row>
  </sheetData>
  <conditionalFormatting pivot="1" sqref="D2:D4">
    <cfRule type="cellIs" dxfId="16" priority="2" operator="greaterThan">
      <formula>1</formula>
    </cfRule>
  </conditionalFormatting>
  <conditionalFormatting pivot="1" sqref="D2:D4">
    <cfRule type="cellIs" dxfId="15" priority="1" operator="between">
      <formula>0.9</formula>
      <formula>1</formula>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C3EF-0CD4-4BD4-8616-04EA21FD6B34}">
  <dimension ref="A1:D5"/>
  <sheetViews>
    <sheetView workbookViewId="0">
      <selection activeCell="D25" sqref="D25"/>
    </sheetView>
  </sheetViews>
  <sheetFormatPr defaultRowHeight="14.4" x14ac:dyDescent="0.3"/>
  <cols>
    <col min="1" max="1" width="12.5546875" bestFit="1" customWidth="1"/>
    <col min="2" max="2" width="11.6640625" bestFit="1" customWidth="1"/>
    <col min="3" max="3" width="12.77734375" style="13" bestFit="1" customWidth="1"/>
    <col min="4" max="4" width="15.109375" style="12" bestFit="1" customWidth="1"/>
  </cols>
  <sheetData>
    <row r="1" spans="1:4" x14ac:dyDescent="0.3">
      <c r="A1" s="9" t="s">
        <v>28</v>
      </c>
      <c r="B1" t="s">
        <v>29</v>
      </c>
      <c r="C1" s="13" t="s">
        <v>30</v>
      </c>
      <c r="D1" t="s">
        <v>84</v>
      </c>
    </row>
    <row r="2" spans="1:4" x14ac:dyDescent="0.3">
      <c r="A2" s="7" t="s">
        <v>32</v>
      </c>
      <c r="B2" s="13">
        <v>316736</v>
      </c>
      <c r="C2" s="13">
        <v>325245</v>
      </c>
      <c r="D2" s="12">
        <v>0.97401692879397417</v>
      </c>
    </row>
    <row r="3" spans="1:4" x14ac:dyDescent="0.3">
      <c r="A3" s="7" t="s">
        <v>33</v>
      </c>
      <c r="B3" s="13">
        <v>433922</v>
      </c>
      <c r="C3" s="13">
        <v>441688</v>
      </c>
      <c r="D3" s="12">
        <v>0.97551057952803943</v>
      </c>
    </row>
    <row r="4" spans="1:4" x14ac:dyDescent="0.3">
      <c r="A4" s="7" t="s">
        <v>34</v>
      </c>
      <c r="B4" s="13">
        <v>9263</v>
      </c>
      <c r="C4" s="13">
        <v>11100</v>
      </c>
      <c r="D4" s="12">
        <v>0.83450450450450453</v>
      </c>
    </row>
    <row r="5" spans="1:4" x14ac:dyDescent="0.3">
      <c r="A5" s="7" t="s">
        <v>85</v>
      </c>
      <c r="B5" s="13">
        <v>759921</v>
      </c>
      <c r="C5" s="13">
        <v>778033</v>
      </c>
      <c r="D5" s="12">
        <v>0.97285607099881855</v>
      </c>
    </row>
  </sheetData>
  <conditionalFormatting pivot="1" sqref="D2:D4">
    <cfRule type="cellIs" dxfId="10" priority="2" operator="between">
      <formula>0.9</formula>
      <formula>1</formula>
    </cfRule>
  </conditionalFormatting>
  <conditionalFormatting pivot="1" sqref="D2:D4">
    <cfRule type="cellIs" dxfId="9" priority="1" operator="lessThan">
      <formula>0.9</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1DA8-93A8-416B-B88E-55D1571648CD}">
  <sheetPr filterMode="1"/>
  <dimension ref="A3:E171"/>
  <sheetViews>
    <sheetView topLeftCell="A3" zoomScale="98" zoomScaleNormal="98" workbookViewId="0">
      <selection activeCell="G71" sqref="G71"/>
    </sheetView>
  </sheetViews>
  <sheetFormatPr defaultRowHeight="14.4" x14ac:dyDescent="0.3"/>
  <cols>
    <col min="1" max="1" width="16.109375" bestFit="1" customWidth="1"/>
    <col min="2" max="2" width="14.21875" bestFit="1" customWidth="1"/>
    <col min="3" max="3" width="15.33203125" bestFit="1" customWidth="1"/>
    <col min="4" max="4" width="17.109375" bestFit="1" customWidth="1"/>
    <col min="5" max="5" width="13.6640625" customWidth="1"/>
    <col min="6" max="6" width="13.88671875" customWidth="1"/>
    <col min="7" max="7" width="13" customWidth="1"/>
  </cols>
  <sheetData>
    <row r="3" spans="1:5" x14ac:dyDescent="0.3">
      <c r="A3" s="9" t="s">
        <v>28</v>
      </c>
      <c r="B3" t="s">
        <v>29</v>
      </c>
      <c r="C3" t="s">
        <v>30</v>
      </c>
      <c r="D3" t="s">
        <v>80</v>
      </c>
      <c r="E3" t="s">
        <v>87</v>
      </c>
    </row>
    <row r="4" spans="1:5" hidden="1" x14ac:dyDescent="0.3">
      <c r="A4" s="16">
        <v>45659</v>
      </c>
      <c r="B4" s="13">
        <v>19567</v>
      </c>
      <c r="C4" s="13">
        <v>18852</v>
      </c>
      <c r="D4" s="12">
        <v>1.0379270103967748</v>
      </c>
      <c r="E4" t="str">
        <f>IF(D4&lt;90%,"Critical",IF(D4&lt;95%,"Review","OK"))</f>
        <v>OK</v>
      </c>
    </row>
    <row r="5" spans="1:5" hidden="1" x14ac:dyDescent="0.3">
      <c r="A5" s="17" t="s">
        <v>17</v>
      </c>
      <c r="B5" s="13">
        <v>19567</v>
      </c>
      <c r="C5" s="13">
        <v>18852</v>
      </c>
      <c r="D5" s="12">
        <v>1.0379270103967748</v>
      </c>
      <c r="E5" t="str">
        <f t="shared" ref="E5:E68" si="0">IF(D5&lt;90%,"Critical",IF(D5&lt;95%,"Review","OK"))</f>
        <v>OK</v>
      </c>
    </row>
    <row r="6" spans="1:5" hidden="1" x14ac:dyDescent="0.3">
      <c r="A6" s="18" t="s">
        <v>25</v>
      </c>
      <c r="B6" s="13">
        <v>9867</v>
      </c>
      <c r="C6" s="13">
        <v>10119</v>
      </c>
      <c r="D6" s="12">
        <v>0.97509635339460421</v>
      </c>
      <c r="E6" t="str">
        <f t="shared" si="0"/>
        <v>OK</v>
      </c>
    </row>
    <row r="7" spans="1:5" hidden="1" x14ac:dyDescent="0.3">
      <c r="A7" s="18" t="s">
        <v>22</v>
      </c>
      <c r="B7" s="13">
        <v>9700</v>
      </c>
      <c r="C7" s="13">
        <v>8733</v>
      </c>
      <c r="D7" s="12">
        <v>1.1107294171533264</v>
      </c>
      <c r="E7" t="str">
        <f t="shared" si="0"/>
        <v>OK</v>
      </c>
    </row>
    <row r="8" spans="1:5" hidden="1" x14ac:dyDescent="0.3">
      <c r="A8" s="16">
        <v>45660</v>
      </c>
      <c r="B8" s="13">
        <v>11981</v>
      </c>
      <c r="C8" s="13">
        <v>11848</v>
      </c>
      <c r="D8" s="12">
        <v>1.0112255232950709</v>
      </c>
      <c r="E8" t="str">
        <f t="shared" si="0"/>
        <v>OK</v>
      </c>
    </row>
    <row r="9" spans="1:5" hidden="1" x14ac:dyDescent="0.3">
      <c r="A9" s="17" t="s">
        <v>27</v>
      </c>
      <c r="B9" s="13">
        <v>11981</v>
      </c>
      <c r="C9" s="13">
        <v>11848</v>
      </c>
      <c r="D9" s="12">
        <v>1.0112255232950709</v>
      </c>
      <c r="E9" t="str">
        <f t="shared" si="0"/>
        <v>OK</v>
      </c>
    </row>
    <row r="10" spans="1:5" hidden="1" x14ac:dyDescent="0.3">
      <c r="A10" s="18" t="s">
        <v>19</v>
      </c>
      <c r="B10" s="13">
        <v>11981</v>
      </c>
      <c r="C10" s="13">
        <v>11848</v>
      </c>
      <c r="D10" s="12">
        <v>1.0112255232950709</v>
      </c>
      <c r="E10" t="str">
        <f t="shared" si="0"/>
        <v>OK</v>
      </c>
    </row>
    <row r="11" spans="1:5" hidden="1" x14ac:dyDescent="0.3">
      <c r="A11" s="16">
        <v>45661</v>
      </c>
      <c r="B11" s="13">
        <v>20755</v>
      </c>
      <c r="C11" s="13">
        <v>20458</v>
      </c>
      <c r="D11" s="12">
        <v>1.014517548147424</v>
      </c>
      <c r="E11" t="str">
        <f t="shared" si="0"/>
        <v>OK</v>
      </c>
    </row>
    <row r="12" spans="1:5" x14ac:dyDescent="0.3">
      <c r="A12" s="17" t="s">
        <v>17</v>
      </c>
      <c r="B12" s="13">
        <v>8874</v>
      </c>
      <c r="C12" s="13">
        <v>9817</v>
      </c>
      <c r="D12" s="12">
        <v>0.90394214118366101</v>
      </c>
      <c r="E12" t="str">
        <f t="shared" si="0"/>
        <v>Review</v>
      </c>
    </row>
    <row r="13" spans="1:5" x14ac:dyDescent="0.3">
      <c r="A13" s="18" t="s">
        <v>25</v>
      </c>
      <c r="B13" s="13">
        <v>8874</v>
      </c>
      <c r="C13" s="13">
        <v>9817</v>
      </c>
      <c r="D13" s="12">
        <v>0.90394214118366101</v>
      </c>
      <c r="E13" t="str">
        <f t="shared" si="0"/>
        <v>Review</v>
      </c>
    </row>
    <row r="14" spans="1:5" hidden="1" x14ac:dyDescent="0.3">
      <c r="A14" s="17" t="s">
        <v>20</v>
      </c>
      <c r="B14" s="13">
        <v>11881</v>
      </c>
      <c r="C14" s="13">
        <v>10641</v>
      </c>
      <c r="D14" s="12">
        <v>1.1165304012780755</v>
      </c>
      <c r="E14" t="str">
        <f t="shared" si="0"/>
        <v>OK</v>
      </c>
    </row>
    <row r="15" spans="1:5" hidden="1" x14ac:dyDescent="0.3">
      <c r="A15" s="18" t="s">
        <v>19</v>
      </c>
      <c r="B15" s="13">
        <v>11881</v>
      </c>
      <c r="C15" s="13">
        <v>10641</v>
      </c>
      <c r="D15" s="12">
        <v>1.1165304012780755</v>
      </c>
      <c r="E15" t="str">
        <f t="shared" si="0"/>
        <v>OK</v>
      </c>
    </row>
    <row r="16" spans="1:5" hidden="1" x14ac:dyDescent="0.3">
      <c r="A16" s="16">
        <v>45662</v>
      </c>
      <c r="B16" s="13">
        <v>10890</v>
      </c>
      <c r="C16" s="13">
        <v>9537</v>
      </c>
      <c r="D16" s="12">
        <v>1.1418685121107266</v>
      </c>
      <c r="E16" t="str">
        <f t="shared" si="0"/>
        <v>OK</v>
      </c>
    </row>
    <row r="17" spans="1:5" hidden="1" x14ac:dyDescent="0.3">
      <c r="A17" s="17" t="s">
        <v>17</v>
      </c>
      <c r="B17" s="13">
        <v>10890</v>
      </c>
      <c r="C17" s="13">
        <v>9537</v>
      </c>
      <c r="D17" s="12">
        <v>1.1418685121107266</v>
      </c>
      <c r="E17" t="str">
        <f t="shared" si="0"/>
        <v>OK</v>
      </c>
    </row>
    <row r="18" spans="1:5" hidden="1" x14ac:dyDescent="0.3">
      <c r="A18" s="18" t="s">
        <v>25</v>
      </c>
      <c r="B18" s="13">
        <v>10890</v>
      </c>
      <c r="C18" s="13">
        <v>9537</v>
      </c>
      <c r="D18" s="12">
        <v>1.1418685121107266</v>
      </c>
      <c r="E18" t="str">
        <f t="shared" si="0"/>
        <v>OK</v>
      </c>
    </row>
    <row r="19" spans="1:5" x14ac:dyDescent="0.3">
      <c r="A19" s="16">
        <v>45663</v>
      </c>
      <c r="B19" s="13">
        <v>8603</v>
      </c>
      <c r="C19" s="13">
        <v>9097</v>
      </c>
      <c r="D19" s="12">
        <v>0.94569638342310647</v>
      </c>
      <c r="E19" t="str">
        <f t="shared" si="0"/>
        <v>Review</v>
      </c>
    </row>
    <row r="20" spans="1:5" x14ac:dyDescent="0.3">
      <c r="A20" s="17" t="s">
        <v>27</v>
      </c>
      <c r="B20" s="13">
        <v>8603</v>
      </c>
      <c r="C20" s="13">
        <v>9097</v>
      </c>
      <c r="D20" s="12">
        <v>0.94569638342310647</v>
      </c>
      <c r="E20" t="str">
        <f t="shared" si="0"/>
        <v>Review</v>
      </c>
    </row>
    <row r="21" spans="1:5" x14ac:dyDescent="0.3">
      <c r="A21" s="18" t="s">
        <v>19</v>
      </c>
      <c r="B21" s="13">
        <v>8603</v>
      </c>
      <c r="C21" s="13">
        <v>9097</v>
      </c>
      <c r="D21" s="12">
        <v>0.94569638342310647</v>
      </c>
      <c r="E21" t="str">
        <f t="shared" si="0"/>
        <v>Review</v>
      </c>
    </row>
    <row r="22" spans="1:5" x14ac:dyDescent="0.3">
      <c r="A22" s="16">
        <v>45666</v>
      </c>
      <c r="B22" s="13">
        <v>35078</v>
      </c>
      <c r="C22" s="13">
        <v>37107</v>
      </c>
      <c r="D22" s="12">
        <v>0.94532028997224249</v>
      </c>
      <c r="E22" t="str">
        <f t="shared" si="0"/>
        <v>Review</v>
      </c>
    </row>
    <row r="23" spans="1:5" x14ac:dyDescent="0.3">
      <c r="A23" s="17" t="s">
        <v>27</v>
      </c>
      <c r="B23" s="13">
        <v>20284</v>
      </c>
      <c r="C23" s="13">
        <v>22523</v>
      </c>
      <c r="D23" s="12">
        <v>0.90059050748124136</v>
      </c>
      <c r="E23" t="str">
        <f t="shared" si="0"/>
        <v>Review</v>
      </c>
    </row>
    <row r="24" spans="1:5" x14ac:dyDescent="0.3">
      <c r="A24" s="18" t="s">
        <v>25</v>
      </c>
      <c r="B24" s="13">
        <v>20284</v>
      </c>
      <c r="C24" s="13">
        <v>22523</v>
      </c>
      <c r="D24" s="12">
        <v>0.90059050748124136</v>
      </c>
      <c r="E24" t="str">
        <f t="shared" si="0"/>
        <v>Review</v>
      </c>
    </row>
    <row r="25" spans="1:5" hidden="1" x14ac:dyDescent="0.3">
      <c r="A25" s="17" t="s">
        <v>17</v>
      </c>
      <c r="B25" s="13">
        <v>14794</v>
      </c>
      <c r="C25" s="13">
        <v>14584</v>
      </c>
      <c r="D25" s="12">
        <v>1.0143993417443773</v>
      </c>
      <c r="E25" t="str">
        <f t="shared" si="0"/>
        <v>OK</v>
      </c>
    </row>
    <row r="26" spans="1:5" hidden="1" x14ac:dyDescent="0.3">
      <c r="A26" s="18" t="s">
        <v>19</v>
      </c>
      <c r="B26" s="13">
        <v>14794</v>
      </c>
      <c r="C26" s="13">
        <v>14584</v>
      </c>
      <c r="D26" s="12">
        <v>1.0143993417443773</v>
      </c>
      <c r="E26" t="str">
        <f t="shared" si="0"/>
        <v>OK</v>
      </c>
    </row>
    <row r="27" spans="1:5" hidden="1" x14ac:dyDescent="0.3">
      <c r="A27" s="16">
        <v>45667</v>
      </c>
      <c r="B27" s="13">
        <v>30179</v>
      </c>
      <c r="C27" s="13">
        <v>29274</v>
      </c>
      <c r="D27" s="12">
        <v>1.0309148049463688</v>
      </c>
      <c r="E27" t="str">
        <f t="shared" si="0"/>
        <v>OK</v>
      </c>
    </row>
    <row r="28" spans="1:5" hidden="1" x14ac:dyDescent="0.3">
      <c r="A28" s="17" t="s">
        <v>27</v>
      </c>
      <c r="B28" s="13">
        <v>13124</v>
      </c>
      <c r="C28" s="13">
        <v>13585</v>
      </c>
      <c r="D28" s="12">
        <v>0.96606551343393454</v>
      </c>
      <c r="E28" t="str">
        <f t="shared" si="0"/>
        <v>OK</v>
      </c>
    </row>
    <row r="29" spans="1:5" hidden="1" x14ac:dyDescent="0.3">
      <c r="A29" s="18" t="s">
        <v>25</v>
      </c>
      <c r="B29" s="13">
        <v>13124</v>
      </c>
      <c r="C29" s="13">
        <v>13585</v>
      </c>
      <c r="D29" s="12">
        <v>0.96606551343393454</v>
      </c>
      <c r="E29" t="str">
        <f t="shared" si="0"/>
        <v>OK</v>
      </c>
    </row>
    <row r="30" spans="1:5" hidden="1" x14ac:dyDescent="0.3">
      <c r="A30" s="17" t="s">
        <v>20</v>
      </c>
      <c r="B30" s="13">
        <v>17055</v>
      </c>
      <c r="C30" s="13">
        <v>15689</v>
      </c>
      <c r="D30" s="12">
        <v>1.0870673720441073</v>
      </c>
      <c r="E30" t="str">
        <f t="shared" si="0"/>
        <v>OK</v>
      </c>
    </row>
    <row r="31" spans="1:5" hidden="1" x14ac:dyDescent="0.3">
      <c r="A31" s="18" t="s">
        <v>25</v>
      </c>
      <c r="B31" s="13">
        <v>17055</v>
      </c>
      <c r="C31" s="13">
        <v>15689</v>
      </c>
      <c r="D31" s="12">
        <v>1.0870673720441073</v>
      </c>
      <c r="E31" t="str">
        <f t="shared" si="0"/>
        <v>OK</v>
      </c>
    </row>
    <row r="32" spans="1:5" x14ac:dyDescent="0.3">
      <c r="A32" s="16">
        <v>45668</v>
      </c>
      <c r="B32" s="13">
        <v>11916</v>
      </c>
      <c r="C32" s="13">
        <v>13569</v>
      </c>
      <c r="D32" s="12">
        <v>0.87817820030952909</v>
      </c>
      <c r="E32" t="str">
        <f t="shared" si="0"/>
        <v>Critical</v>
      </c>
    </row>
    <row r="33" spans="1:5" x14ac:dyDescent="0.3">
      <c r="A33" s="17" t="s">
        <v>20</v>
      </c>
      <c r="B33" s="13">
        <v>11916</v>
      </c>
      <c r="C33" s="13">
        <v>13569</v>
      </c>
      <c r="D33" s="12">
        <v>0.87817820030952909</v>
      </c>
      <c r="E33" t="str">
        <f t="shared" si="0"/>
        <v>Critical</v>
      </c>
    </row>
    <row r="34" spans="1:5" x14ac:dyDescent="0.3">
      <c r="A34" s="18" t="s">
        <v>25</v>
      </c>
      <c r="B34" s="13">
        <v>11916</v>
      </c>
      <c r="C34" s="13">
        <v>13569</v>
      </c>
      <c r="D34" s="12">
        <v>0.87817820030952909</v>
      </c>
      <c r="E34" t="str">
        <f t="shared" si="0"/>
        <v>Critical</v>
      </c>
    </row>
    <row r="35" spans="1:5" hidden="1" x14ac:dyDescent="0.3">
      <c r="A35" s="16">
        <v>45669</v>
      </c>
      <c r="B35" s="13">
        <v>14995</v>
      </c>
      <c r="C35" s="13">
        <v>15043</v>
      </c>
      <c r="D35" s="12">
        <v>0.99680914711161339</v>
      </c>
      <c r="E35" t="str">
        <f t="shared" si="0"/>
        <v>OK</v>
      </c>
    </row>
    <row r="36" spans="1:5" hidden="1" x14ac:dyDescent="0.3">
      <c r="A36" s="17" t="s">
        <v>20</v>
      </c>
      <c r="B36" s="13">
        <v>14995</v>
      </c>
      <c r="C36" s="13">
        <v>15043</v>
      </c>
      <c r="D36" s="12">
        <v>0.99680914711161339</v>
      </c>
      <c r="E36" t="str">
        <f t="shared" si="0"/>
        <v>OK</v>
      </c>
    </row>
    <row r="37" spans="1:5" hidden="1" x14ac:dyDescent="0.3">
      <c r="A37" s="18" t="s">
        <v>22</v>
      </c>
      <c r="B37" s="13">
        <v>14995</v>
      </c>
      <c r="C37" s="13">
        <v>15043</v>
      </c>
      <c r="D37" s="12">
        <v>0.99680914711161339</v>
      </c>
      <c r="E37" t="str">
        <f t="shared" si="0"/>
        <v>OK</v>
      </c>
    </row>
    <row r="38" spans="1:5" hidden="1" x14ac:dyDescent="0.3">
      <c r="A38" s="16">
        <v>45670</v>
      </c>
      <c r="B38" s="13">
        <v>12755</v>
      </c>
      <c r="C38" s="13">
        <v>12437</v>
      </c>
      <c r="D38" s="12">
        <v>1.0255688670901342</v>
      </c>
      <c r="E38" t="str">
        <f t="shared" si="0"/>
        <v>OK</v>
      </c>
    </row>
    <row r="39" spans="1:5" hidden="1" x14ac:dyDescent="0.3">
      <c r="A39" s="17" t="s">
        <v>27</v>
      </c>
      <c r="B39" s="13">
        <v>12755</v>
      </c>
      <c r="C39" s="13">
        <v>12437</v>
      </c>
      <c r="D39" s="12">
        <v>1.0255688670901342</v>
      </c>
      <c r="E39" t="str">
        <f t="shared" si="0"/>
        <v>OK</v>
      </c>
    </row>
    <row r="40" spans="1:5" hidden="1" x14ac:dyDescent="0.3">
      <c r="A40" s="18" t="s">
        <v>19</v>
      </c>
      <c r="B40" s="13">
        <v>12755</v>
      </c>
      <c r="C40" s="13">
        <v>12437</v>
      </c>
      <c r="D40" s="12">
        <v>1.0255688670901342</v>
      </c>
      <c r="E40" t="str">
        <f t="shared" si="0"/>
        <v>OK</v>
      </c>
    </row>
    <row r="41" spans="1:5" hidden="1" x14ac:dyDescent="0.3">
      <c r="A41" s="16">
        <v>45671</v>
      </c>
      <c r="B41" s="13">
        <v>24865</v>
      </c>
      <c r="C41" s="13">
        <v>24148</v>
      </c>
      <c r="D41" s="12">
        <v>1.0296918999503064</v>
      </c>
      <c r="E41" t="str">
        <f t="shared" si="0"/>
        <v>OK</v>
      </c>
    </row>
    <row r="42" spans="1:5" hidden="1" x14ac:dyDescent="0.3">
      <c r="A42" s="17" t="s">
        <v>23</v>
      </c>
      <c r="B42" s="13">
        <v>15591</v>
      </c>
      <c r="C42" s="13">
        <v>15436</v>
      </c>
      <c r="D42" s="12">
        <v>1.010041461518528</v>
      </c>
      <c r="E42" t="str">
        <f t="shared" si="0"/>
        <v>OK</v>
      </c>
    </row>
    <row r="43" spans="1:5" hidden="1" x14ac:dyDescent="0.3">
      <c r="A43" s="18" t="s">
        <v>22</v>
      </c>
      <c r="B43" s="13">
        <v>15591</v>
      </c>
      <c r="C43" s="13">
        <v>15436</v>
      </c>
      <c r="D43" s="12">
        <v>1.010041461518528</v>
      </c>
      <c r="E43" t="str">
        <f t="shared" si="0"/>
        <v>OK</v>
      </c>
    </row>
    <row r="44" spans="1:5" hidden="1" x14ac:dyDescent="0.3">
      <c r="A44" s="17" t="s">
        <v>20</v>
      </c>
      <c r="B44" s="13">
        <v>9274</v>
      </c>
      <c r="C44" s="13">
        <v>8712</v>
      </c>
      <c r="D44" s="12">
        <v>1.0645087235996327</v>
      </c>
      <c r="E44" t="str">
        <f t="shared" si="0"/>
        <v>OK</v>
      </c>
    </row>
    <row r="45" spans="1:5" hidden="1" x14ac:dyDescent="0.3">
      <c r="A45" s="18" t="s">
        <v>19</v>
      </c>
      <c r="B45" s="13">
        <v>9274</v>
      </c>
      <c r="C45" s="13">
        <v>8712</v>
      </c>
      <c r="D45" s="12">
        <v>1.0645087235996327</v>
      </c>
      <c r="E45" t="str">
        <f t="shared" si="0"/>
        <v>OK</v>
      </c>
    </row>
    <row r="46" spans="1:5" hidden="1" x14ac:dyDescent="0.3">
      <c r="A46" s="16">
        <v>45672</v>
      </c>
      <c r="B46" s="13">
        <v>9290</v>
      </c>
      <c r="C46" s="13">
        <v>9482</v>
      </c>
      <c r="D46" s="12">
        <v>0.97975110736131621</v>
      </c>
      <c r="E46" t="str">
        <f t="shared" si="0"/>
        <v>OK</v>
      </c>
    </row>
    <row r="47" spans="1:5" hidden="1" x14ac:dyDescent="0.3">
      <c r="A47" s="17" t="s">
        <v>23</v>
      </c>
      <c r="B47" s="13">
        <v>9290</v>
      </c>
      <c r="C47" s="13">
        <v>9482</v>
      </c>
      <c r="D47" s="12">
        <v>0.97975110736131621</v>
      </c>
      <c r="E47" t="str">
        <f t="shared" si="0"/>
        <v>OK</v>
      </c>
    </row>
    <row r="48" spans="1:5" hidden="1" x14ac:dyDescent="0.3">
      <c r="A48" s="18" t="s">
        <v>22</v>
      </c>
      <c r="B48" s="13">
        <v>9290</v>
      </c>
      <c r="C48" s="13">
        <v>9482</v>
      </c>
      <c r="D48" s="12">
        <v>0.97975110736131621</v>
      </c>
      <c r="E48" t="str">
        <f t="shared" si="0"/>
        <v>OK</v>
      </c>
    </row>
    <row r="49" spans="1:5" hidden="1" x14ac:dyDescent="0.3">
      <c r="A49" s="16">
        <v>45674</v>
      </c>
      <c r="B49" s="13">
        <v>15469</v>
      </c>
      <c r="C49" s="13">
        <v>14463</v>
      </c>
      <c r="D49" s="12">
        <v>1.069556800110627</v>
      </c>
      <c r="E49" t="str">
        <f t="shared" si="0"/>
        <v>OK</v>
      </c>
    </row>
    <row r="50" spans="1:5" hidden="1" x14ac:dyDescent="0.3">
      <c r="A50" s="17" t="s">
        <v>20</v>
      </c>
      <c r="B50" s="13">
        <v>15469</v>
      </c>
      <c r="C50" s="13">
        <v>14463</v>
      </c>
      <c r="D50" s="12">
        <v>1.069556800110627</v>
      </c>
      <c r="E50" t="str">
        <f t="shared" si="0"/>
        <v>OK</v>
      </c>
    </row>
    <row r="51" spans="1:5" hidden="1" x14ac:dyDescent="0.3">
      <c r="A51" s="18" t="s">
        <v>22</v>
      </c>
      <c r="B51" s="13">
        <v>15469</v>
      </c>
      <c r="C51" s="13">
        <v>14463</v>
      </c>
      <c r="D51" s="12">
        <v>1.069556800110627</v>
      </c>
      <c r="E51" t="str">
        <f t="shared" si="0"/>
        <v>OK</v>
      </c>
    </row>
    <row r="52" spans="1:5" hidden="1" x14ac:dyDescent="0.3">
      <c r="A52" s="16">
        <v>45676</v>
      </c>
      <c r="B52" s="13">
        <v>12252</v>
      </c>
      <c r="C52" s="13">
        <v>12603</v>
      </c>
      <c r="D52" s="12">
        <v>0.97214948821709113</v>
      </c>
      <c r="E52" t="str">
        <f t="shared" si="0"/>
        <v>OK</v>
      </c>
    </row>
    <row r="53" spans="1:5" hidden="1" x14ac:dyDescent="0.3">
      <c r="A53" s="17" t="s">
        <v>27</v>
      </c>
      <c r="B53" s="13">
        <v>12252</v>
      </c>
      <c r="C53" s="13">
        <v>12603</v>
      </c>
      <c r="D53" s="12">
        <v>0.97214948821709113</v>
      </c>
      <c r="E53" t="str">
        <f t="shared" si="0"/>
        <v>OK</v>
      </c>
    </row>
    <row r="54" spans="1:5" hidden="1" x14ac:dyDescent="0.3">
      <c r="A54" s="18" t="s">
        <v>25</v>
      </c>
      <c r="B54" s="13">
        <v>12252</v>
      </c>
      <c r="C54" s="13">
        <v>12603</v>
      </c>
      <c r="D54" s="12">
        <v>0.97214948821709113</v>
      </c>
      <c r="E54" t="str">
        <f t="shared" si="0"/>
        <v>OK</v>
      </c>
    </row>
    <row r="55" spans="1:5" x14ac:dyDescent="0.3">
      <c r="A55" s="16">
        <v>45679</v>
      </c>
      <c r="B55" s="13">
        <v>22135</v>
      </c>
      <c r="C55" s="13">
        <v>23780</v>
      </c>
      <c r="D55" s="12">
        <v>0.93082422203532378</v>
      </c>
      <c r="E55" t="str">
        <f t="shared" si="0"/>
        <v>Review</v>
      </c>
    </row>
    <row r="56" spans="1:5" hidden="1" x14ac:dyDescent="0.3">
      <c r="A56" s="17" t="s">
        <v>27</v>
      </c>
      <c r="B56" s="13">
        <v>7278</v>
      </c>
      <c r="C56" s="13">
        <v>7403</v>
      </c>
      <c r="D56" s="12">
        <v>0.9831149533972714</v>
      </c>
      <c r="E56" t="str">
        <f t="shared" si="0"/>
        <v>OK</v>
      </c>
    </row>
    <row r="57" spans="1:5" hidden="1" x14ac:dyDescent="0.3">
      <c r="A57" s="18" t="s">
        <v>19</v>
      </c>
      <c r="B57" s="13">
        <v>7278</v>
      </c>
      <c r="C57" s="13">
        <v>7403</v>
      </c>
      <c r="D57" s="12">
        <v>0.9831149533972714</v>
      </c>
      <c r="E57" t="str">
        <f t="shared" si="0"/>
        <v>OK</v>
      </c>
    </row>
    <row r="58" spans="1:5" hidden="1" x14ac:dyDescent="0.3">
      <c r="A58" s="17" t="s">
        <v>23</v>
      </c>
      <c r="B58" s="13">
        <v>9556</v>
      </c>
      <c r="C58" s="13">
        <v>9229</v>
      </c>
      <c r="D58" s="12">
        <v>1.0354317910932929</v>
      </c>
      <c r="E58" t="str">
        <f t="shared" si="0"/>
        <v>OK</v>
      </c>
    </row>
    <row r="59" spans="1:5" hidden="1" x14ac:dyDescent="0.3">
      <c r="A59" s="18" t="s">
        <v>25</v>
      </c>
      <c r="B59" s="13">
        <v>9556</v>
      </c>
      <c r="C59" s="13">
        <v>9229</v>
      </c>
      <c r="D59" s="12">
        <v>1.0354317910932929</v>
      </c>
      <c r="E59" t="str">
        <f t="shared" si="0"/>
        <v>OK</v>
      </c>
    </row>
    <row r="60" spans="1:5" x14ac:dyDescent="0.3">
      <c r="A60" s="17" t="s">
        <v>20</v>
      </c>
      <c r="B60" s="13">
        <v>5301</v>
      </c>
      <c r="C60" s="13">
        <v>7148</v>
      </c>
      <c r="D60" s="12">
        <v>0.74160604364857308</v>
      </c>
      <c r="E60" t="str">
        <f t="shared" si="0"/>
        <v>Critical</v>
      </c>
    </row>
    <row r="61" spans="1:5" x14ac:dyDescent="0.3">
      <c r="A61" s="18" t="s">
        <v>19</v>
      </c>
      <c r="B61" s="13">
        <v>5301</v>
      </c>
      <c r="C61" s="13">
        <v>7148</v>
      </c>
      <c r="D61" s="12">
        <v>0.74160604364857308</v>
      </c>
      <c r="E61" t="str">
        <f t="shared" si="0"/>
        <v>Critical</v>
      </c>
    </row>
    <row r="62" spans="1:5" hidden="1" x14ac:dyDescent="0.3">
      <c r="A62" s="16">
        <v>45680</v>
      </c>
      <c r="B62" s="13">
        <v>42577</v>
      </c>
      <c r="C62" s="13">
        <v>43186</v>
      </c>
      <c r="D62" s="12">
        <v>0.98589820775251236</v>
      </c>
      <c r="E62" t="str">
        <f t="shared" si="0"/>
        <v>OK</v>
      </c>
    </row>
    <row r="63" spans="1:5" x14ac:dyDescent="0.3">
      <c r="A63" s="17" t="s">
        <v>27</v>
      </c>
      <c r="B63" s="13">
        <v>14491</v>
      </c>
      <c r="C63" s="13">
        <v>15786</v>
      </c>
      <c r="D63" s="12">
        <v>0.91796528569618652</v>
      </c>
      <c r="E63" t="str">
        <f t="shared" si="0"/>
        <v>Review</v>
      </c>
    </row>
    <row r="64" spans="1:5" x14ac:dyDescent="0.3">
      <c r="A64" s="18" t="s">
        <v>22</v>
      </c>
      <c r="B64" s="13">
        <v>14491</v>
      </c>
      <c r="C64" s="13">
        <v>15786</v>
      </c>
      <c r="D64" s="12">
        <v>0.91796528569618652</v>
      </c>
      <c r="E64" t="str">
        <f t="shared" si="0"/>
        <v>Review</v>
      </c>
    </row>
    <row r="65" spans="1:5" hidden="1" x14ac:dyDescent="0.3">
      <c r="A65" s="17" t="s">
        <v>17</v>
      </c>
      <c r="B65" s="13">
        <v>16389</v>
      </c>
      <c r="C65" s="13">
        <v>15564</v>
      </c>
      <c r="D65" s="12">
        <v>1.0530069390902081</v>
      </c>
      <c r="E65" t="str">
        <f t="shared" si="0"/>
        <v>OK</v>
      </c>
    </row>
    <row r="66" spans="1:5" hidden="1" x14ac:dyDescent="0.3">
      <c r="A66" s="18" t="s">
        <v>19</v>
      </c>
      <c r="B66" s="13">
        <v>16389</v>
      </c>
      <c r="C66" s="13">
        <v>15564</v>
      </c>
      <c r="D66" s="12">
        <v>1.0530069390902081</v>
      </c>
      <c r="E66" t="str">
        <f t="shared" si="0"/>
        <v>OK</v>
      </c>
    </row>
    <row r="67" spans="1:5" hidden="1" x14ac:dyDescent="0.3">
      <c r="A67" s="17" t="s">
        <v>23</v>
      </c>
      <c r="B67" s="13">
        <v>11697</v>
      </c>
      <c r="C67" s="13">
        <v>11836</v>
      </c>
      <c r="D67" s="12">
        <v>0.98825616762419732</v>
      </c>
      <c r="E67" t="str">
        <f t="shared" si="0"/>
        <v>OK</v>
      </c>
    </row>
    <row r="68" spans="1:5" hidden="1" x14ac:dyDescent="0.3">
      <c r="A68" s="18" t="s">
        <v>25</v>
      </c>
      <c r="B68" s="13">
        <v>11697</v>
      </c>
      <c r="C68" s="13">
        <v>11836</v>
      </c>
      <c r="D68" s="12">
        <v>0.98825616762419732</v>
      </c>
      <c r="E68" t="str">
        <f t="shared" si="0"/>
        <v>OK</v>
      </c>
    </row>
    <row r="69" spans="1:5" x14ac:dyDescent="0.3">
      <c r="A69" s="16">
        <v>45681</v>
      </c>
      <c r="B69" s="13">
        <v>24369</v>
      </c>
      <c r="C69" s="13">
        <v>26525</v>
      </c>
      <c r="D69" s="12">
        <v>0.91871819038642788</v>
      </c>
      <c r="E69" t="str">
        <f t="shared" ref="E69:E132" si="1">IF(D69&lt;90%,"Critical",IF(D69&lt;95%,"Review","OK"))</f>
        <v>Review</v>
      </c>
    </row>
    <row r="70" spans="1:5" x14ac:dyDescent="0.3">
      <c r="A70" s="17" t="s">
        <v>27</v>
      </c>
      <c r="B70" s="13">
        <v>6384</v>
      </c>
      <c r="C70" s="13">
        <v>7749</v>
      </c>
      <c r="D70" s="12">
        <v>0.82384823848238486</v>
      </c>
      <c r="E70" t="str">
        <f t="shared" si="1"/>
        <v>Critical</v>
      </c>
    </row>
    <row r="71" spans="1:5" x14ac:dyDescent="0.3">
      <c r="A71" s="18" t="s">
        <v>25</v>
      </c>
      <c r="B71" s="13">
        <v>6384</v>
      </c>
      <c r="C71" s="13">
        <v>7749</v>
      </c>
      <c r="D71" s="12">
        <v>0.82384823848238486</v>
      </c>
      <c r="E71" t="str">
        <f t="shared" si="1"/>
        <v>Critical</v>
      </c>
    </row>
    <row r="72" spans="1:5" hidden="1" x14ac:dyDescent="0.3">
      <c r="A72" s="17" t="s">
        <v>20</v>
      </c>
      <c r="B72" s="13">
        <v>17985</v>
      </c>
      <c r="C72" s="13">
        <v>18776</v>
      </c>
      <c r="D72" s="12">
        <v>0.95787175117170853</v>
      </c>
      <c r="E72" t="str">
        <f t="shared" si="1"/>
        <v>OK</v>
      </c>
    </row>
    <row r="73" spans="1:5" x14ac:dyDescent="0.3">
      <c r="A73" s="18" t="s">
        <v>22</v>
      </c>
      <c r="B73" s="13">
        <v>6365</v>
      </c>
      <c r="C73" s="13">
        <v>7374</v>
      </c>
      <c r="D73" s="12">
        <v>0.8631678871711419</v>
      </c>
      <c r="E73" t="str">
        <f t="shared" si="1"/>
        <v>Critical</v>
      </c>
    </row>
    <row r="74" spans="1:5" hidden="1" x14ac:dyDescent="0.3">
      <c r="A74" s="18" t="s">
        <v>19</v>
      </c>
      <c r="B74" s="13">
        <v>11620</v>
      </c>
      <c r="C74" s="13">
        <v>11402</v>
      </c>
      <c r="D74" s="12">
        <v>1.0191194527275917</v>
      </c>
      <c r="E74" t="str">
        <f t="shared" si="1"/>
        <v>OK</v>
      </c>
    </row>
    <row r="75" spans="1:5" hidden="1" x14ac:dyDescent="0.3">
      <c r="A75" s="16">
        <v>45682</v>
      </c>
      <c r="B75" s="13">
        <v>24075</v>
      </c>
      <c r="C75" s="13">
        <v>25120</v>
      </c>
      <c r="D75" s="12">
        <v>0.95839968152866239</v>
      </c>
      <c r="E75" t="str">
        <f t="shared" si="1"/>
        <v>OK</v>
      </c>
    </row>
    <row r="76" spans="1:5" hidden="1" x14ac:dyDescent="0.3">
      <c r="A76" s="17" t="s">
        <v>27</v>
      </c>
      <c r="B76" s="13">
        <v>24075</v>
      </c>
      <c r="C76" s="13">
        <v>25120</v>
      </c>
      <c r="D76" s="12">
        <v>0.95839968152866239</v>
      </c>
      <c r="E76" t="str">
        <f t="shared" si="1"/>
        <v>OK</v>
      </c>
    </row>
    <row r="77" spans="1:5" x14ac:dyDescent="0.3">
      <c r="A77" s="18" t="s">
        <v>25</v>
      </c>
      <c r="B77" s="13">
        <v>12393</v>
      </c>
      <c r="C77" s="13">
        <v>13951</v>
      </c>
      <c r="D77" s="12">
        <v>0.88832341767615219</v>
      </c>
      <c r="E77" t="str">
        <f t="shared" si="1"/>
        <v>Critical</v>
      </c>
    </row>
    <row r="78" spans="1:5" hidden="1" x14ac:dyDescent="0.3">
      <c r="A78" s="18" t="s">
        <v>19</v>
      </c>
      <c r="B78" s="13">
        <v>11682</v>
      </c>
      <c r="C78" s="13">
        <v>11169</v>
      </c>
      <c r="D78" s="12">
        <v>1.0459307010475423</v>
      </c>
      <c r="E78" t="str">
        <f t="shared" si="1"/>
        <v>OK</v>
      </c>
    </row>
    <row r="79" spans="1:5" hidden="1" x14ac:dyDescent="0.3">
      <c r="A79" s="16">
        <v>45683</v>
      </c>
      <c r="B79" s="13">
        <v>21092</v>
      </c>
      <c r="C79" s="13">
        <v>20188</v>
      </c>
      <c r="D79" s="12">
        <v>1.0447790766792153</v>
      </c>
      <c r="E79" t="str">
        <f t="shared" si="1"/>
        <v>OK</v>
      </c>
    </row>
    <row r="80" spans="1:5" hidden="1" x14ac:dyDescent="0.3">
      <c r="A80" s="17" t="s">
        <v>20</v>
      </c>
      <c r="B80" s="13">
        <v>21092</v>
      </c>
      <c r="C80" s="13">
        <v>20188</v>
      </c>
      <c r="D80" s="12">
        <v>1.0447790766792153</v>
      </c>
      <c r="E80" t="str">
        <f t="shared" si="1"/>
        <v>OK</v>
      </c>
    </row>
    <row r="81" spans="1:5" hidden="1" x14ac:dyDescent="0.3">
      <c r="A81" s="18" t="s">
        <v>25</v>
      </c>
      <c r="B81" s="13">
        <v>9032</v>
      </c>
      <c r="C81" s="13">
        <v>9311</v>
      </c>
      <c r="D81" s="12">
        <v>0.97003544195038127</v>
      </c>
      <c r="E81" t="str">
        <f t="shared" si="1"/>
        <v>OK</v>
      </c>
    </row>
    <row r="82" spans="1:5" hidden="1" x14ac:dyDescent="0.3">
      <c r="A82" s="18" t="s">
        <v>22</v>
      </c>
      <c r="B82" s="13">
        <v>12060</v>
      </c>
      <c r="C82" s="13">
        <v>10877</v>
      </c>
      <c r="D82" s="12">
        <v>1.1087616070607704</v>
      </c>
      <c r="E82" t="str">
        <f t="shared" si="1"/>
        <v>OK</v>
      </c>
    </row>
    <row r="83" spans="1:5" x14ac:dyDescent="0.3">
      <c r="A83" s="16">
        <v>45684</v>
      </c>
      <c r="B83" s="13">
        <v>15633</v>
      </c>
      <c r="C83" s="13">
        <v>19289</v>
      </c>
      <c r="D83" s="12">
        <v>0.81046192130229666</v>
      </c>
      <c r="E83" t="str">
        <f t="shared" si="1"/>
        <v>Critical</v>
      </c>
    </row>
    <row r="84" spans="1:5" x14ac:dyDescent="0.3">
      <c r="A84" s="17" t="s">
        <v>27</v>
      </c>
      <c r="B84" s="13">
        <v>7101</v>
      </c>
      <c r="C84" s="13">
        <v>9092</v>
      </c>
      <c r="D84" s="12">
        <v>0.78101627804663443</v>
      </c>
      <c r="E84" t="str">
        <f t="shared" si="1"/>
        <v>Critical</v>
      </c>
    </row>
    <row r="85" spans="1:5" x14ac:dyDescent="0.3">
      <c r="A85" s="18" t="s">
        <v>19</v>
      </c>
      <c r="B85" s="13">
        <v>7101</v>
      </c>
      <c r="C85" s="13">
        <v>9092</v>
      </c>
      <c r="D85" s="12">
        <v>0.78101627804663443</v>
      </c>
      <c r="E85" t="str">
        <f t="shared" si="1"/>
        <v>Critical</v>
      </c>
    </row>
    <row r="86" spans="1:5" x14ac:dyDescent="0.3">
      <c r="A86" s="17" t="s">
        <v>20</v>
      </c>
      <c r="B86" s="13">
        <v>8532</v>
      </c>
      <c r="C86" s="13">
        <v>10197</v>
      </c>
      <c r="D86" s="12">
        <v>0.8367166813768756</v>
      </c>
      <c r="E86" t="str">
        <f t="shared" si="1"/>
        <v>Critical</v>
      </c>
    </row>
    <row r="87" spans="1:5" x14ac:dyDescent="0.3">
      <c r="A87" s="18" t="s">
        <v>22</v>
      </c>
      <c r="B87" s="13">
        <v>8532</v>
      </c>
      <c r="C87" s="13">
        <v>10197</v>
      </c>
      <c r="D87" s="12">
        <v>0.8367166813768756</v>
      </c>
      <c r="E87" t="str">
        <f t="shared" si="1"/>
        <v>Critical</v>
      </c>
    </row>
    <row r="88" spans="1:5" hidden="1" x14ac:dyDescent="0.3">
      <c r="A88" s="16">
        <v>45685</v>
      </c>
      <c r="B88" s="13">
        <v>23704</v>
      </c>
      <c r="C88" s="13">
        <v>23932</v>
      </c>
      <c r="D88" s="12">
        <v>0.99047300685274942</v>
      </c>
      <c r="E88" t="str">
        <f t="shared" si="1"/>
        <v>OK</v>
      </c>
    </row>
    <row r="89" spans="1:5" hidden="1" x14ac:dyDescent="0.3">
      <c r="A89" s="17" t="s">
        <v>27</v>
      </c>
      <c r="B89" s="13">
        <v>11769</v>
      </c>
      <c r="C89" s="13">
        <v>10566</v>
      </c>
      <c r="D89" s="12">
        <v>1.1138557637705848</v>
      </c>
      <c r="E89" t="str">
        <f t="shared" si="1"/>
        <v>OK</v>
      </c>
    </row>
    <row r="90" spans="1:5" hidden="1" x14ac:dyDescent="0.3">
      <c r="A90" s="18" t="s">
        <v>22</v>
      </c>
      <c r="B90" s="13">
        <v>11769</v>
      </c>
      <c r="C90" s="13">
        <v>10566</v>
      </c>
      <c r="D90" s="12">
        <v>1.1138557637705848</v>
      </c>
      <c r="E90" t="str">
        <f t="shared" si="1"/>
        <v>OK</v>
      </c>
    </row>
    <row r="91" spans="1:5" x14ac:dyDescent="0.3">
      <c r="A91" s="17" t="s">
        <v>23</v>
      </c>
      <c r="B91" s="13">
        <v>11935</v>
      </c>
      <c r="C91" s="13">
        <v>13366</v>
      </c>
      <c r="D91" s="12">
        <v>0.89293730360616486</v>
      </c>
      <c r="E91" t="str">
        <f t="shared" si="1"/>
        <v>Critical</v>
      </c>
    </row>
    <row r="92" spans="1:5" x14ac:dyDescent="0.3">
      <c r="A92" s="18" t="s">
        <v>22</v>
      </c>
      <c r="B92" s="13">
        <v>11935</v>
      </c>
      <c r="C92" s="13">
        <v>13366</v>
      </c>
      <c r="D92" s="12">
        <v>0.89293730360616486</v>
      </c>
      <c r="E92" t="str">
        <f t="shared" si="1"/>
        <v>Critical</v>
      </c>
    </row>
    <row r="93" spans="1:5" hidden="1" x14ac:dyDescent="0.3">
      <c r="A93" s="16">
        <v>45686</v>
      </c>
      <c r="B93" s="13">
        <v>21742</v>
      </c>
      <c r="C93" s="13">
        <v>21750</v>
      </c>
      <c r="D93" s="12">
        <v>0.99963218390804598</v>
      </c>
      <c r="E93" t="str">
        <f t="shared" si="1"/>
        <v>OK</v>
      </c>
    </row>
    <row r="94" spans="1:5" x14ac:dyDescent="0.3">
      <c r="A94" s="17" t="s">
        <v>27</v>
      </c>
      <c r="B94" s="13">
        <v>7060</v>
      </c>
      <c r="C94" s="13">
        <v>8369</v>
      </c>
      <c r="D94" s="12">
        <v>0.84358943720874657</v>
      </c>
      <c r="E94" t="str">
        <f t="shared" si="1"/>
        <v>Critical</v>
      </c>
    </row>
    <row r="95" spans="1:5" x14ac:dyDescent="0.3">
      <c r="A95" s="18" t="s">
        <v>19</v>
      </c>
      <c r="B95" s="13">
        <v>7060</v>
      </c>
      <c r="C95" s="13">
        <v>8369</v>
      </c>
      <c r="D95" s="12">
        <v>0.84358943720874657</v>
      </c>
      <c r="E95" t="str">
        <f t="shared" si="1"/>
        <v>Critical</v>
      </c>
    </row>
    <row r="96" spans="1:5" hidden="1" x14ac:dyDescent="0.3">
      <c r="A96" s="17" t="s">
        <v>20</v>
      </c>
      <c r="B96" s="13">
        <v>14682</v>
      </c>
      <c r="C96" s="13">
        <v>13381</v>
      </c>
      <c r="D96" s="12">
        <v>1.0972274120020926</v>
      </c>
      <c r="E96" t="str">
        <f t="shared" si="1"/>
        <v>OK</v>
      </c>
    </row>
    <row r="97" spans="1:5" hidden="1" x14ac:dyDescent="0.3">
      <c r="A97" s="18" t="s">
        <v>22</v>
      </c>
      <c r="B97" s="13">
        <v>14682</v>
      </c>
      <c r="C97" s="13">
        <v>13381</v>
      </c>
      <c r="D97" s="12">
        <v>1.0972274120020926</v>
      </c>
      <c r="E97" t="str">
        <f t="shared" si="1"/>
        <v>OK</v>
      </c>
    </row>
    <row r="98" spans="1:5" hidden="1" x14ac:dyDescent="0.3">
      <c r="A98" s="16">
        <v>45689</v>
      </c>
      <c r="B98" s="13">
        <v>32248</v>
      </c>
      <c r="C98" s="13">
        <v>32474</v>
      </c>
      <c r="D98" s="12">
        <v>0.99304058631520598</v>
      </c>
      <c r="E98" t="str">
        <f t="shared" si="1"/>
        <v>OK</v>
      </c>
    </row>
    <row r="99" spans="1:5" x14ac:dyDescent="0.3">
      <c r="A99" s="17" t="s">
        <v>17</v>
      </c>
      <c r="B99" s="13">
        <v>12980</v>
      </c>
      <c r="C99" s="13">
        <v>13710</v>
      </c>
      <c r="D99" s="12">
        <v>0.94675419401896421</v>
      </c>
      <c r="E99" t="str">
        <f t="shared" si="1"/>
        <v>Review</v>
      </c>
    </row>
    <row r="100" spans="1:5" x14ac:dyDescent="0.3">
      <c r="A100" s="18" t="s">
        <v>19</v>
      </c>
      <c r="B100" s="13">
        <v>12980</v>
      </c>
      <c r="C100" s="13">
        <v>13710</v>
      </c>
      <c r="D100" s="12">
        <v>0.94675419401896421</v>
      </c>
      <c r="E100" t="str">
        <f t="shared" si="1"/>
        <v>Review</v>
      </c>
    </row>
    <row r="101" spans="1:5" hidden="1" x14ac:dyDescent="0.3">
      <c r="A101" s="17" t="s">
        <v>23</v>
      </c>
      <c r="B101" s="13">
        <v>8880</v>
      </c>
      <c r="C101" s="13">
        <v>7920</v>
      </c>
      <c r="D101" s="12">
        <v>1.1212121212121211</v>
      </c>
      <c r="E101" t="str">
        <f t="shared" si="1"/>
        <v>OK</v>
      </c>
    </row>
    <row r="102" spans="1:5" hidden="1" x14ac:dyDescent="0.3">
      <c r="A102" s="18" t="s">
        <v>25</v>
      </c>
      <c r="B102" s="13">
        <v>8880</v>
      </c>
      <c r="C102" s="13">
        <v>7920</v>
      </c>
      <c r="D102" s="12">
        <v>1.1212121212121211</v>
      </c>
      <c r="E102" t="str">
        <f t="shared" si="1"/>
        <v>OK</v>
      </c>
    </row>
    <row r="103" spans="1:5" hidden="1" x14ac:dyDescent="0.3">
      <c r="A103" s="17" t="s">
        <v>20</v>
      </c>
      <c r="B103" s="13">
        <v>10388</v>
      </c>
      <c r="C103" s="13">
        <v>10844</v>
      </c>
      <c r="D103" s="12">
        <v>0.95794909627443747</v>
      </c>
      <c r="E103" t="str">
        <f t="shared" si="1"/>
        <v>OK</v>
      </c>
    </row>
    <row r="104" spans="1:5" hidden="1" x14ac:dyDescent="0.3">
      <c r="A104" s="18" t="s">
        <v>25</v>
      </c>
      <c r="B104" s="13">
        <v>10388</v>
      </c>
      <c r="C104" s="13">
        <v>10844</v>
      </c>
      <c r="D104" s="12">
        <v>0.95794909627443747</v>
      </c>
      <c r="E104" t="str">
        <f t="shared" si="1"/>
        <v>OK</v>
      </c>
    </row>
    <row r="105" spans="1:5" hidden="1" x14ac:dyDescent="0.3">
      <c r="A105" s="16">
        <v>45691</v>
      </c>
      <c r="B105" s="13">
        <v>31700</v>
      </c>
      <c r="C105" s="13">
        <v>31694</v>
      </c>
      <c r="D105" s="12">
        <v>1.0001893102795483</v>
      </c>
      <c r="E105" t="str">
        <f t="shared" si="1"/>
        <v>OK</v>
      </c>
    </row>
    <row r="106" spans="1:5" hidden="1" x14ac:dyDescent="0.3">
      <c r="A106" s="17" t="s">
        <v>27</v>
      </c>
      <c r="B106" s="13">
        <v>13609</v>
      </c>
      <c r="C106" s="13">
        <v>13818</v>
      </c>
      <c r="D106" s="12">
        <v>0.98487480098422353</v>
      </c>
      <c r="E106" t="str">
        <f t="shared" si="1"/>
        <v>OK</v>
      </c>
    </row>
    <row r="107" spans="1:5" hidden="1" x14ac:dyDescent="0.3">
      <c r="A107" s="18" t="s">
        <v>22</v>
      </c>
      <c r="B107" s="13">
        <v>13609</v>
      </c>
      <c r="C107" s="13">
        <v>13818</v>
      </c>
      <c r="D107" s="12">
        <v>0.98487480098422353</v>
      </c>
      <c r="E107" t="str">
        <f t="shared" si="1"/>
        <v>OK</v>
      </c>
    </row>
    <row r="108" spans="1:5" x14ac:dyDescent="0.3">
      <c r="A108" s="17" t="s">
        <v>23</v>
      </c>
      <c r="B108" s="13">
        <v>6459</v>
      </c>
      <c r="C108" s="13">
        <v>7255</v>
      </c>
      <c r="D108" s="12">
        <v>0.8902825637491385</v>
      </c>
      <c r="E108" t="str">
        <f t="shared" si="1"/>
        <v>Critical</v>
      </c>
    </row>
    <row r="109" spans="1:5" x14ac:dyDescent="0.3">
      <c r="A109" s="18" t="s">
        <v>22</v>
      </c>
      <c r="B109" s="13">
        <v>6459</v>
      </c>
      <c r="C109" s="13">
        <v>7255</v>
      </c>
      <c r="D109" s="12">
        <v>0.8902825637491385</v>
      </c>
      <c r="E109" t="str">
        <f t="shared" si="1"/>
        <v>Critical</v>
      </c>
    </row>
    <row r="110" spans="1:5" hidden="1" x14ac:dyDescent="0.3">
      <c r="A110" s="17" t="s">
        <v>20</v>
      </c>
      <c r="B110" s="13">
        <v>11632</v>
      </c>
      <c r="C110" s="13">
        <v>10621</v>
      </c>
      <c r="D110" s="12">
        <v>1.0951887769513229</v>
      </c>
      <c r="E110" t="str">
        <f t="shared" si="1"/>
        <v>OK</v>
      </c>
    </row>
    <row r="111" spans="1:5" hidden="1" x14ac:dyDescent="0.3">
      <c r="A111" s="18" t="s">
        <v>19</v>
      </c>
      <c r="B111" s="13">
        <v>11632</v>
      </c>
      <c r="C111" s="13">
        <v>10621</v>
      </c>
      <c r="D111" s="12">
        <v>1.0951887769513229</v>
      </c>
      <c r="E111" t="str">
        <f t="shared" si="1"/>
        <v>OK</v>
      </c>
    </row>
    <row r="112" spans="1:5" hidden="1" x14ac:dyDescent="0.3">
      <c r="A112" s="16">
        <v>45692</v>
      </c>
      <c r="B112" s="13">
        <v>21215</v>
      </c>
      <c r="C112" s="13">
        <v>22048</v>
      </c>
      <c r="D112" s="12">
        <v>0.96221879535558785</v>
      </c>
      <c r="E112" t="str">
        <f t="shared" si="1"/>
        <v>OK</v>
      </c>
    </row>
    <row r="113" spans="1:5" x14ac:dyDescent="0.3">
      <c r="A113" s="17" t="s">
        <v>27</v>
      </c>
      <c r="B113" s="13">
        <v>9518</v>
      </c>
      <c r="C113" s="13">
        <v>10837</v>
      </c>
      <c r="D113" s="12">
        <v>0.87828734889729632</v>
      </c>
      <c r="E113" t="str">
        <f t="shared" si="1"/>
        <v>Critical</v>
      </c>
    </row>
    <row r="114" spans="1:5" x14ac:dyDescent="0.3">
      <c r="A114" s="18" t="s">
        <v>19</v>
      </c>
      <c r="B114" s="13">
        <v>9518</v>
      </c>
      <c r="C114" s="13">
        <v>10837</v>
      </c>
      <c r="D114" s="12">
        <v>0.87828734889729632</v>
      </c>
      <c r="E114" t="str">
        <f t="shared" si="1"/>
        <v>Critical</v>
      </c>
    </row>
    <row r="115" spans="1:5" hidden="1" x14ac:dyDescent="0.3">
      <c r="A115" s="17" t="s">
        <v>23</v>
      </c>
      <c r="B115" s="13">
        <v>11697</v>
      </c>
      <c r="C115" s="13">
        <v>11211</v>
      </c>
      <c r="D115" s="12">
        <v>1.0433502809740434</v>
      </c>
      <c r="E115" t="str">
        <f t="shared" si="1"/>
        <v>OK</v>
      </c>
    </row>
    <row r="116" spans="1:5" hidden="1" x14ac:dyDescent="0.3">
      <c r="A116" s="18" t="s">
        <v>25</v>
      </c>
      <c r="B116" s="13">
        <v>11697</v>
      </c>
      <c r="C116" s="13">
        <v>11211</v>
      </c>
      <c r="D116" s="12">
        <v>1.0433502809740434</v>
      </c>
      <c r="E116" t="str">
        <f t="shared" si="1"/>
        <v>OK</v>
      </c>
    </row>
    <row r="117" spans="1:5" hidden="1" x14ac:dyDescent="0.3">
      <c r="A117" s="16">
        <v>45693</v>
      </c>
      <c r="B117" s="13">
        <v>14498</v>
      </c>
      <c r="C117" s="13">
        <v>14032</v>
      </c>
      <c r="D117" s="12">
        <v>1.0332098061573547</v>
      </c>
      <c r="E117" t="str">
        <f t="shared" si="1"/>
        <v>OK</v>
      </c>
    </row>
    <row r="118" spans="1:5" hidden="1" x14ac:dyDescent="0.3">
      <c r="A118" s="17" t="s">
        <v>27</v>
      </c>
      <c r="B118" s="13">
        <v>14498</v>
      </c>
      <c r="C118" s="13">
        <v>14032</v>
      </c>
      <c r="D118" s="12">
        <v>1.0332098061573547</v>
      </c>
      <c r="E118" t="str">
        <f t="shared" si="1"/>
        <v>OK</v>
      </c>
    </row>
    <row r="119" spans="1:5" hidden="1" x14ac:dyDescent="0.3">
      <c r="A119" s="18" t="s">
        <v>22</v>
      </c>
      <c r="B119" s="13">
        <v>14498</v>
      </c>
      <c r="C119" s="13">
        <v>14032</v>
      </c>
      <c r="D119" s="12">
        <v>1.0332098061573547</v>
      </c>
      <c r="E119" t="str">
        <f t="shared" si="1"/>
        <v>OK</v>
      </c>
    </row>
    <row r="120" spans="1:5" hidden="1" x14ac:dyDescent="0.3">
      <c r="A120" s="16">
        <v>45694</v>
      </c>
      <c r="B120" s="13">
        <v>10054</v>
      </c>
      <c r="C120" s="13">
        <v>9617</v>
      </c>
      <c r="D120" s="12">
        <v>1.045440366018509</v>
      </c>
      <c r="E120" t="str">
        <f t="shared" si="1"/>
        <v>OK</v>
      </c>
    </row>
    <row r="121" spans="1:5" hidden="1" x14ac:dyDescent="0.3">
      <c r="A121" s="17" t="s">
        <v>23</v>
      </c>
      <c r="B121" s="13">
        <v>10054</v>
      </c>
      <c r="C121" s="13">
        <v>9617</v>
      </c>
      <c r="D121" s="12">
        <v>1.045440366018509</v>
      </c>
      <c r="E121" t="str">
        <f t="shared" si="1"/>
        <v>OK</v>
      </c>
    </row>
    <row r="122" spans="1:5" hidden="1" x14ac:dyDescent="0.3">
      <c r="A122" s="18" t="s">
        <v>22</v>
      </c>
      <c r="B122" s="13">
        <v>10054</v>
      </c>
      <c r="C122" s="13">
        <v>9617</v>
      </c>
      <c r="D122" s="12">
        <v>1.045440366018509</v>
      </c>
      <c r="E122" t="str">
        <f t="shared" si="1"/>
        <v>OK</v>
      </c>
    </row>
    <row r="123" spans="1:5" x14ac:dyDescent="0.3">
      <c r="A123" s="16">
        <v>45695</v>
      </c>
      <c r="B123" s="13">
        <v>29724</v>
      </c>
      <c r="C123" s="13">
        <v>34004</v>
      </c>
      <c r="D123" s="12">
        <v>0.87413245500529346</v>
      </c>
      <c r="E123" t="str">
        <f t="shared" si="1"/>
        <v>Critical</v>
      </c>
    </row>
    <row r="124" spans="1:5" x14ac:dyDescent="0.3">
      <c r="A124" s="17" t="s">
        <v>17</v>
      </c>
      <c r="B124" s="13">
        <v>20408</v>
      </c>
      <c r="C124" s="13">
        <v>23759</v>
      </c>
      <c r="D124" s="12">
        <v>0.85895871038343363</v>
      </c>
      <c r="E124" t="str">
        <f t="shared" si="1"/>
        <v>Critical</v>
      </c>
    </row>
    <row r="125" spans="1:5" x14ac:dyDescent="0.3">
      <c r="A125" s="18" t="s">
        <v>25</v>
      </c>
      <c r="B125" s="13">
        <v>9146</v>
      </c>
      <c r="C125" s="13">
        <v>11110</v>
      </c>
      <c r="D125" s="12">
        <v>0.82322232223222325</v>
      </c>
      <c r="E125" t="str">
        <f t="shared" si="1"/>
        <v>Critical</v>
      </c>
    </row>
    <row r="126" spans="1:5" x14ac:dyDescent="0.3">
      <c r="A126" s="18" t="s">
        <v>19</v>
      </c>
      <c r="B126" s="13">
        <v>11262</v>
      </c>
      <c r="C126" s="13">
        <v>12649</v>
      </c>
      <c r="D126" s="12">
        <v>0.89034706300893351</v>
      </c>
      <c r="E126" t="str">
        <f t="shared" si="1"/>
        <v>Critical</v>
      </c>
    </row>
    <row r="127" spans="1:5" x14ac:dyDescent="0.3">
      <c r="A127" s="17" t="s">
        <v>23</v>
      </c>
      <c r="B127" s="13">
        <v>9316</v>
      </c>
      <c r="C127" s="13">
        <v>10245</v>
      </c>
      <c r="D127" s="12">
        <v>0.90932162030258668</v>
      </c>
      <c r="E127" t="str">
        <f t="shared" si="1"/>
        <v>Review</v>
      </c>
    </row>
    <row r="128" spans="1:5" x14ac:dyDescent="0.3">
      <c r="A128" s="18" t="s">
        <v>22</v>
      </c>
      <c r="B128" s="13">
        <v>9316</v>
      </c>
      <c r="C128" s="13">
        <v>10245</v>
      </c>
      <c r="D128" s="12">
        <v>0.90932162030258668</v>
      </c>
      <c r="E128" t="str">
        <f t="shared" si="1"/>
        <v>Review</v>
      </c>
    </row>
    <row r="129" spans="1:5" hidden="1" x14ac:dyDescent="0.3">
      <c r="A129" s="16">
        <v>45696</v>
      </c>
      <c r="B129" s="13">
        <v>13206</v>
      </c>
      <c r="C129" s="13">
        <v>11993</v>
      </c>
      <c r="D129" s="12">
        <v>1.1011423330275993</v>
      </c>
      <c r="E129" t="str">
        <f t="shared" si="1"/>
        <v>OK</v>
      </c>
    </row>
    <row r="130" spans="1:5" hidden="1" x14ac:dyDescent="0.3">
      <c r="A130" s="17" t="s">
        <v>17</v>
      </c>
      <c r="B130" s="13">
        <v>13206</v>
      </c>
      <c r="C130" s="13">
        <v>11993</v>
      </c>
      <c r="D130" s="12">
        <v>1.1011423330275993</v>
      </c>
      <c r="E130" t="str">
        <f t="shared" si="1"/>
        <v>OK</v>
      </c>
    </row>
    <row r="131" spans="1:5" hidden="1" x14ac:dyDescent="0.3">
      <c r="A131" s="18" t="s">
        <v>19</v>
      </c>
      <c r="B131" s="13">
        <v>13206</v>
      </c>
      <c r="C131" s="13">
        <v>11993</v>
      </c>
      <c r="D131" s="12">
        <v>1.1011423330275993</v>
      </c>
      <c r="E131" t="str">
        <f t="shared" si="1"/>
        <v>OK</v>
      </c>
    </row>
    <row r="132" spans="1:5" x14ac:dyDescent="0.3">
      <c r="A132" s="16">
        <v>45697</v>
      </c>
      <c r="B132" s="13">
        <v>6669</v>
      </c>
      <c r="C132" s="13">
        <v>7673</v>
      </c>
      <c r="D132" s="12">
        <v>0.86915157044180891</v>
      </c>
      <c r="E132" t="str">
        <f t="shared" si="1"/>
        <v>Critical</v>
      </c>
    </row>
    <row r="133" spans="1:5" x14ac:dyDescent="0.3">
      <c r="A133" s="17" t="s">
        <v>23</v>
      </c>
      <c r="B133" s="13">
        <v>6669</v>
      </c>
      <c r="C133" s="13">
        <v>7673</v>
      </c>
      <c r="D133" s="12">
        <v>0.86915157044180891</v>
      </c>
      <c r="E133" t="str">
        <f t="shared" ref="E133:E171" si="2">IF(D133&lt;90%,"Critical",IF(D133&lt;95%,"Review","OK"))</f>
        <v>Critical</v>
      </c>
    </row>
    <row r="134" spans="1:5" x14ac:dyDescent="0.3">
      <c r="A134" s="18" t="s">
        <v>22</v>
      </c>
      <c r="B134" s="13">
        <v>6669</v>
      </c>
      <c r="C134" s="13">
        <v>7673</v>
      </c>
      <c r="D134" s="12">
        <v>0.86915157044180891</v>
      </c>
      <c r="E134" t="str">
        <f t="shared" si="2"/>
        <v>Critical</v>
      </c>
    </row>
    <row r="135" spans="1:5" x14ac:dyDescent="0.3">
      <c r="A135" s="16">
        <v>45699</v>
      </c>
      <c r="B135" s="13">
        <v>6521</v>
      </c>
      <c r="C135" s="13">
        <v>7167</v>
      </c>
      <c r="D135" s="12">
        <v>0.90986465745779266</v>
      </c>
      <c r="E135" t="str">
        <f t="shared" si="2"/>
        <v>Review</v>
      </c>
    </row>
    <row r="136" spans="1:5" x14ac:dyDescent="0.3">
      <c r="A136" s="17" t="s">
        <v>20</v>
      </c>
      <c r="B136" s="13">
        <v>6521</v>
      </c>
      <c r="C136" s="13">
        <v>7167</v>
      </c>
      <c r="D136" s="12">
        <v>0.90986465745779266</v>
      </c>
      <c r="E136" t="str">
        <f t="shared" si="2"/>
        <v>Review</v>
      </c>
    </row>
    <row r="137" spans="1:5" x14ac:dyDescent="0.3">
      <c r="A137" s="18" t="s">
        <v>25</v>
      </c>
      <c r="B137" s="13">
        <v>6521</v>
      </c>
      <c r="C137" s="13">
        <v>7167</v>
      </c>
      <c r="D137" s="12">
        <v>0.90986465745779266</v>
      </c>
      <c r="E137" t="str">
        <f t="shared" si="2"/>
        <v>Review</v>
      </c>
    </row>
    <row r="138" spans="1:5" hidden="1" x14ac:dyDescent="0.3">
      <c r="A138" s="16">
        <v>45700</v>
      </c>
      <c r="B138" s="13">
        <v>17763</v>
      </c>
      <c r="C138" s="13">
        <v>17139</v>
      </c>
      <c r="D138" s="12">
        <v>1.0364081918431647</v>
      </c>
      <c r="E138" t="str">
        <f t="shared" si="2"/>
        <v>OK</v>
      </c>
    </row>
    <row r="139" spans="1:5" hidden="1" x14ac:dyDescent="0.3">
      <c r="A139" s="17" t="s">
        <v>23</v>
      </c>
      <c r="B139" s="13">
        <v>10326</v>
      </c>
      <c r="C139" s="13">
        <v>8828</v>
      </c>
      <c r="D139" s="12">
        <v>1.1696873584050749</v>
      </c>
      <c r="E139" t="str">
        <f t="shared" si="2"/>
        <v>OK</v>
      </c>
    </row>
    <row r="140" spans="1:5" hidden="1" x14ac:dyDescent="0.3">
      <c r="A140" s="18" t="s">
        <v>19</v>
      </c>
      <c r="B140" s="13">
        <v>10326</v>
      </c>
      <c r="C140" s="13">
        <v>8828</v>
      </c>
      <c r="D140" s="12">
        <v>1.1696873584050749</v>
      </c>
      <c r="E140" t="str">
        <f t="shared" si="2"/>
        <v>OK</v>
      </c>
    </row>
    <row r="141" spans="1:5" x14ac:dyDescent="0.3">
      <c r="A141" s="17" t="s">
        <v>20</v>
      </c>
      <c r="B141" s="13">
        <v>7437</v>
      </c>
      <c r="C141" s="13">
        <v>8311</v>
      </c>
      <c r="D141" s="12">
        <v>0.8948381662856455</v>
      </c>
      <c r="E141" t="str">
        <f t="shared" si="2"/>
        <v>Critical</v>
      </c>
    </row>
    <row r="142" spans="1:5" x14ac:dyDescent="0.3">
      <c r="A142" s="18" t="s">
        <v>19</v>
      </c>
      <c r="B142" s="13">
        <v>7437</v>
      </c>
      <c r="C142" s="13">
        <v>8311</v>
      </c>
      <c r="D142" s="12">
        <v>0.8948381662856455</v>
      </c>
      <c r="E142" t="str">
        <f t="shared" si="2"/>
        <v>Critical</v>
      </c>
    </row>
    <row r="143" spans="1:5" hidden="1" x14ac:dyDescent="0.3">
      <c r="A143" s="16">
        <v>45701</v>
      </c>
      <c r="B143" s="13">
        <v>15528</v>
      </c>
      <c r="C143" s="13">
        <v>15128</v>
      </c>
      <c r="D143" s="12">
        <v>1.0264410364886303</v>
      </c>
      <c r="E143" t="str">
        <f t="shared" si="2"/>
        <v>OK</v>
      </c>
    </row>
    <row r="144" spans="1:5" hidden="1" x14ac:dyDescent="0.3">
      <c r="A144" s="17" t="s">
        <v>23</v>
      </c>
      <c r="B144" s="13">
        <v>15528</v>
      </c>
      <c r="C144" s="13">
        <v>15128</v>
      </c>
      <c r="D144" s="12">
        <v>1.0264410364886303</v>
      </c>
      <c r="E144" t="str">
        <f t="shared" si="2"/>
        <v>OK</v>
      </c>
    </row>
    <row r="145" spans="1:5" hidden="1" x14ac:dyDescent="0.3">
      <c r="A145" s="18" t="s">
        <v>25</v>
      </c>
      <c r="B145" s="13">
        <v>15528</v>
      </c>
      <c r="C145" s="13">
        <v>15128</v>
      </c>
      <c r="D145" s="12">
        <v>1.0264410364886303</v>
      </c>
      <c r="E145" t="str">
        <f t="shared" si="2"/>
        <v>OK</v>
      </c>
    </row>
    <row r="146" spans="1:5" hidden="1" x14ac:dyDescent="0.3">
      <c r="A146" s="16">
        <v>45704</v>
      </c>
      <c r="B146" s="13">
        <v>18176</v>
      </c>
      <c r="C146" s="13">
        <v>18571</v>
      </c>
      <c r="D146" s="12">
        <v>0.97873027839103977</v>
      </c>
      <c r="E146" t="str">
        <f t="shared" si="2"/>
        <v>OK</v>
      </c>
    </row>
    <row r="147" spans="1:5" hidden="1" x14ac:dyDescent="0.3">
      <c r="A147" s="17" t="s">
        <v>27</v>
      </c>
      <c r="B147" s="13">
        <v>8342</v>
      </c>
      <c r="C147" s="13">
        <v>8426</v>
      </c>
      <c r="D147" s="12">
        <v>0.99003085687158798</v>
      </c>
      <c r="E147" t="str">
        <f t="shared" si="2"/>
        <v>OK</v>
      </c>
    </row>
    <row r="148" spans="1:5" hidden="1" x14ac:dyDescent="0.3">
      <c r="A148" s="18" t="s">
        <v>25</v>
      </c>
      <c r="B148" s="13">
        <v>8342</v>
      </c>
      <c r="C148" s="13">
        <v>8426</v>
      </c>
      <c r="D148" s="12">
        <v>0.99003085687158798</v>
      </c>
      <c r="E148" t="str">
        <f t="shared" si="2"/>
        <v>OK</v>
      </c>
    </row>
    <row r="149" spans="1:5" hidden="1" x14ac:dyDescent="0.3">
      <c r="A149" s="17" t="s">
        <v>17</v>
      </c>
      <c r="B149" s="13">
        <v>9834</v>
      </c>
      <c r="C149" s="13">
        <v>10145</v>
      </c>
      <c r="D149" s="12">
        <v>0.96934450468210942</v>
      </c>
      <c r="E149" t="str">
        <f t="shared" si="2"/>
        <v>OK</v>
      </c>
    </row>
    <row r="150" spans="1:5" hidden="1" x14ac:dyDescent="0.3">
      <c r="A150" s="18" t="s">
        <v>19</v>
      </c>
      <c r="B150" s="13">
        <v>9834</v>
      </c>
      <c r="C150" s="13">
        <v>10145</v>
      </c>
      <c r="D150" s="12">
        <v>0.96934450468210942</v>
      </c>
      <c r="E150" t="str">
        <f t="shared" si="2"/>
        <v>OK</v>
      </c>
    </row>
    <row r="151" spans="1:5" x14ac:dyDescent="0.3">
      <c r="A151" s="16">
        <v>45705</v>
      </c>
      <c r="B151" s="13">
        <v>39749</v>
      </c>
      <c r="C151" s="13">
        <v>42281</v>
      </c>
      <c r="D151" s="12">
        <v>0.94011494524727424</v>
      </c>
      <c r="E151" t="str">
        <f t="shared" si="2"/>
        <v>Review</v>
      </c>
    </row>
    <row r="152" spans="1:5" hidden="1" x14ac:dyDescent="0.3">
      <c r="A152" s="17" t="s">
        <v>17</v>
      </c>
      <c r="B152" s="13">
        <v>8205</v>
      </c>
      <c r="C152" s="13">
        <v>7128</v>
      </c>
      <c r="D152" s="12">
        <v>1.1510942760942762</v>
      </c>
      <c r="E152" t="str">
        <f t="shared" si="2"/>
        <v>OK</v>
      </c>
    </row>
    <row r="153" spans="1:5" hidden="1" x14ac:dyDescent="0.3">
      <c r="A153" s="18" t="s">
        <v>22</v>
      </c>
      <c r="B153" s="13">
        <v>8205</v>
      </c>
      <c r="C153" s="13">
        <v>7128</v>
      </c>
      <c r="D153" s="12">
        <v>1.1510942760942762</v>
      </c>
      <c r="E153" t="str">
        <f t="shared" si="2"/>
        <v>OK</v>
      </c>
    </row>
    <row r="154" spans="1:5" x14ac:dyDescent="0.3">
      <c r="A154" s="17" t="s">
        <v>23</v>
      </c>
      <c r="B154" s="13">
        <v>31544</v>
      </c>
      <c r="C154" s="13">
        <v>35153</v>
      </c>
      <c r="D154" s="12">
        <v>0.89733450914573432</v>
      </c>
      <c r="E154" t="str">
        <f t="shared" si="2"/>
        <v>Critical</v>
      </c>
    </row>
    <row r="155" spans="1:5" x14ac:dyDescent="0.3">
      <c r="A155" s="18" t="s">
        <v>19</v>
      </c>
      <c r="B155" s="13">
        <v>31544</v>
      </c>
      <c r="C155" s="13">
        <v>35153</v>
      </c>
      <c r="D155" s="12">
        <v>0.89733450914573432</v>
      </c>
      <c r="E155" t="str">
        <f t="shared" si="2"/>
        <v>Critical</v>
      </c>
    </row>
    <row r="156" spans="1:5" hidden="1" x14ac:dyDescent="0.3">
      <c r="A156" s="16">
        <v>45708</v>
      </c>
      <c r="B156" s="13">
        <v>10720</v>
      </c>
      <c r="C156" s="13">
        <v>10939</v>
      </c>
      <c r="D156" s="12">
        <v>0.97997988847243811</v>
      </c>
      <c r="E156" t="str">
        <f t="shared" si="2"/>
        <v>OK</v>
      </c>
    </row>
    <row r="157" spans="1:5" hidden="1" x14ac:dyDescent="0.3">
      <c r="A157" s="17" t="s">
        <v>23</v>
      </c>
      <c r="B157" s="13">
        <v>10720</v>
      </c>
      <c r="C157" s="13">
        <v>10939</v>
      </c>
      <c r="D157" s="12">
        <v>0.97997988847243811</v>
      </c>
      <c r="E157" t="str">
        <f t="shared" si="2"/>
        <v>OK</v>
      </c>
    </row>
    <row r="158" spans="1:5" hidden="1" x14ac:dyDescent="0.3">
      <c r="A158" s="18" t="s">
        <v>22</v>
      </c>
      <c r="B158" s="13">
        <v>10720</v>
      </c>
      <c r="C158" s="13">
        <v>10939</v>
      </c>
      <c r="D158" s="12">
        <v>0.97997988847243811</v>
      </c>
      <c r="E158" t="str">
        <f t="shared" si="2"/>
        <v>OK</v>
      </c>
    </row>
    <row r="159" spans="1:5" x14ac:dyDescent="0.3">
      <c r="A159" s="16">
        <v>45712</v>
      </c>
      <c r="B159" s="13">
        <v>8795</v>
      </c>
      <c r="C159" s="13">
        <v>9520</v>
      </c>
      <c r="D159" s="12">
        <v>0.9238445378151261</v>
      </c>
      <c r="E159" t="str">
        <f t="shared" si="2"/>
        <v>Review</v>
      </c>
    </row>
    <row r="160" spans="1:5" x14ac:dyDescent="0.3">
      <c r="A160" s="17" t="s">
        <v>20</v>
      </c>
      <c r="B160" s="13">
        <v>8795</v>
      </c>
      <c r="C160" s="13">
        <v>9520</v>
      </c>
      <c r="D160" s="12">
        <v>0.9238445378151261</v>
      </c>
      <c r="E160" t="str">
        <f t="shared" si="2"/>
        <v>Review</v>
      </c>
    </row>
    <row r="161" spans="1:5" x14ac:dyDescent="0.3">
      <c r="A161" s="18" t="s">
        <v>25</v>
      </c>
      <c r="B161" s="13">
        <v>8795</v>
      </c>
      <c r="C161" s="13">
        <v>9520</v>
      </c>
      <c r="D161" s="12">
        <v>0.9238445378151261</v>
      </c>
      <c r="E161" t="str">
        <f t="shared" si="2"/>
        <v>Review</v>
      </c>
    </row>
    <row r="162" spans="1:5" x14ac:dyDescent="0.3">
      <c r="A162" s="16">
        <v>45714</v>
      </c>
      <c r="B162" s="13">
        <v>11538</v>
      </c>
      <c r="C162" s="13">
        <v>12383</v>
      </c>
      <c r="D162" s="12">
        <v>0.93176128563352989</v>
      </c>
      <c r="E162" t="str">
        <f t="shared" si="2"/>
        <v>Review</v>
      </c>
    </row>
    <row r="163" spans="1:5" x14ac:dyDescent="0.3">
      <c r="A163" s="17" t="s">
        <v>27</v>
      </c>
      <c r="B163" s="13">
        <v>11538</v>
      </c>
      <c r="C163" s="13">
        <v>12383</v>
      </c>
      <c r="D163" s="12">
        <v>0.93176128563352989</v>
      </c>
      <c r="E163" t="str">
        <f t="shared" si="2"/>
        <v>Review</v>
      </c>
    </row>
    <row r="164" spans="1:5" x14ac:dyDescent="0.3">
      <c r="A164" s="18" t="s">
        <v>22</v>
      </c>
      <c r="B164" s="13">
        <v>11538</v>
      </c>
      <c r="C164" s="13">
        <v>12383</v>
      </c>
      <c r="D164" s="12">
        <v>0.93176128563352989</v>
      </c>
      <c r="E164" t="str">
        <f t="shared" si="2"/>
        <v>Review</v>
      </c>
    </row>
    <row r="165" spans="1:5" hidden="1" x14ac:dyDescent="0.3">
      <c r="A165" s="16">
        <v>45715</v>
      </c>
      <c r="B165" s="13">
        <v>28632</v>
      </c>
      <c r="C165" s="13">
        <v>28582</v>
      </c>
      <c r="D165" s="12">
        <v>1.0017493527394863</v>
      </c>
      <c r="E165" t="str">
        <f t="shared" si="2"/>
        <v>OK</v>
      </c>
    </row>
    <row r="166" spans="1:5" hidden="1" x14ac:dyDescent="0.3">
      <c r="A166" s="17" t="s">
        <v>20</v>
      </c>
      <c r="B166" s="13">
        <v>28632</v>
      </c>
      <c r="C166" s="13">
        <v>28582</v>
      </c>
      <c r="D166" s="12">
        <v>1.0017493527394863</v>
      </c>
      <c r="E166" t="str">
        <f t="shared" si="2"/>
        <v>OK</v>
      </c>
    </row>
    <row r="167" spans="1:5" x14ac:dyDescent="0.3">
      <c r="A167" s="18" t="s">
        <v>25</v>
      </c>
      <c r="B167" s="13">
        <v>12841</v>
      </c>
      <c r="C167" s="13">
        <v>14142</v>
      </c>
      <c r="D167" s="12">
        <v>0.90800452552679956</v>
      </c>
      <c r="E167" t="str">
        <f t="shared" si="2"/>
        <v>Review</v>
      </c>
    </row>
    <row r="168" spans="1:5" hidden="1" x14ac:dyDescent="0.3">
      <c r="A168" s="18" t="s">
        <v>19</v>
      </c>
      <c r="B168" s="13">
        <v>15791</v>
      </c>
      <c r="C168" s="13">
        <v>14440</v>
      </c>
      <c r="D168" s="12">
        <v>1.0935595567867036</v>
      </c>
      <c r="E168" t="str">
        <f t="shared" si="2"/>
        <v>OK</v>
      </c>
    </row>
    <row r="169" spans="1:5" x14ac:dyDescent="0.3">
      <c r="A169" s="16">
        <v>45717</v>
      </c>
      <c r="B169" s="13">
        <v>9263</v>
      </c>
      <c r="C169" s="13">
        <v>11100</v>
      </c>
      <c r="D169" s="12">
        <v>0.83450450450450453</v>
      </c>
      <c r="E169" t="str">
        <f t="shared" si="2"/>
        <v>Critical</v>
      </c>
    </row>
    <row r="170" spans="1:5" x14ac:dyDescent="0.3">
      <c r="A170" s="17" t="s">
        <v>27</v>
      </c>
      <c r="B170" s="13">
        <v>9263</v>
      </c>
      <c r="C170" s="13">
        <v>11100</v>
      </c>
      <c r="D170" s="12">
        <v>0.83450450450450453</v>
      </c>
      <c r="E170" t="str">
        <f t="shared" si="2"/>
        <v>Critical</v>
      </c>
    </row>
    <row r="171" spans="1:5" x14ac:dyDescent="0.3">
      <c r="A171" s="18" t="s">
        <v>22</v>
      </c>
      <c r="B171" s="13">
        <v>9263</v>
      </c>
      <c r="C171" s="13">
        <v>11100</v>
      </c>
      <c r="D171" s="12">
        <v>0.83450450450450453</v>
      </c>
      <c r="E171" t="str">
        <f t="shared" si="2"/>
        <v>Critical</v>
      </c>
    </row>
  </sheetData>
  <autoFilter ref="A3:E171" xr:uid="{A5301DA8-93A8-416B-B88E-55D1571648CD}">
    <filterColumn colId="4">
      <filters>
        <filter val="Critical"/>
        <filter val="Review"/>
      </filters>
    </filterColumn>
  </autoFilter>
  <conditionalFormatting pivot="1" sqref="B4:B5 B7:B171">
    <cfRule type="expression" dxfId="6" priority="4">
      <formula>G2&lt;H2</formula>
    </cfRule>
  </conditionalFormatting>
  <conditionalFormatting pivot="1" sqref="D4:D171">
    <cfRule type="cellIs" dxfId="5" priority="3" operator="lessThan">
      <formula>0.9</formula>
    </cfRule>
  </conditionalFormatting>
  <conditionalFormatting pivot="1" sqref="D4:D171">
    <cfRule type="cellIs" dxfId="4" priority="2" operator="between">
      <formula>0.9</formula>
      <formula>1</formula>
    </cfRule>
  </conditionalFormatting>
  <conditionalFormatting pivot="1" sqref="D4:D171">
    <cfRule type="cellIs" dxfId="3" priority="1" operator="greaterThan">
      <formula>1</formula>
    </cfRule>
  </conditionalFormatting>
  <conditionalFormatting pivot="1" sqref="B4 B5 B6:B7 B8 B9 B10 B11 B12 B13 B14 B15 B16 B17 B18 B19 B20 B21 B22 B23 B24 B25 B26 B27 B28 B29 B30 B31 B32 B33 B34 B35 B36 B37 B38 B39 B40 B41 B42 B43 B44 B45 B46 B47 B48 B49 B50 B51 B52 B53 B54 B55 B56 B57 B58 B59 B60 B61 B62 B63 B64 B65 B66 B67 B68 B69 B70 B71 B72 B73:B74 B75 B76 B77:B78 B79 B80 B81:B82 B83 B84 B85 B86 B87 B88 B89 B90 B91 B92 B93 B94 B95 B96 B97 B98 B99 B100 B101 B102 B103 B104 B105 B106 B107 B108 B109 B110 B111 B112 B113 B114 B115 B116 B117 B118 B119 B120 B121 B122 B123 B124 B125:B126 B127 B128 B129 B130 B131 B132 B133 B134 B135 B136 B137 B138 B139 B140 B141 B142 B143 B144 B145 B146 B147 B148 B149 B150 B151 B152 B153 B154 B155 B156 B157 B158 B159 B160 B161 B162 B163 B164 B165 B166 B167:B168 B169 B170 B171">
    <cfRule type="expression" dxfId="2" priority="5">
      <formula>F2&lt;G2</formula>
    </cfRule>
  </conditionalFormatting>
  <conditionalFormatting pivot="1" sqref="B6">
    <cfRule type="expression" dxfId="1" priority="7">
      <formula>F4&lt;G4</formula>
    </cfRule>
  </conditionalFormatting>
  <conditionalFormatting pivot="1" sqref="B4 B5 B6:B7 B8 B9 B10 B11 B12 B13 B14 B15 B16 B17 B18 B19 B20 B21 B22 B23 B24 B25 B26 B27 B28 B29 B30 B31 B32 B33 B34 B35 B36 B37 B38 B39 B40 B41 B42 B43 B44 B45 B46 B47 B48 B49 B50 B51 B52 B53 B54 B55 B56 B57 B58 B59 B60 B61 B62 B63 B64 B65 B66 B67 B68 B69 B70 B71 B72 B73:B74 B75 B76 B77:B78 B79 B80 B81:B82 B83 B84 B85 B86 B87 B88 B89 B90 B91 B92 B93 B94 B95 B96 B97 B98 B99 B100 B101 B102 B103 B104 B105 B106 B107 B108 B109 B110 B111 B112 B113 B114 B115 B116 B117 B118 B119 B120 B121 B122 B123 B124 B125:B126 B127 B128 B129 B130 B131 B132 B133 B134 B135 B136 B137 B138 B139 B140 B141 B142 B143 B144 B145 B146 B147 B148 B149 B150 B151 B152 B153 B154 B155 B156 B157 B158 B159 B160 B161 B162 B163 B164 B165 B166 B167:B168 B169 B170 B171">
    <cfRule type="expression" dxfId="0" priority="9">
      <formula>E2&lt;F2</formula>
    </cfRule>
  </conditionalFormatting>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16B7-5277-4721-A382-681D17A4B79F}">
  <dimension ref="A1:B5"/>
  <sheetViews>
    <sheetView workbookViewId="0">
      <selection activeCell="O4" sqref="O4"/>
    </sheetView>
  </sheetViews>
  <sheetFormatPr defaultRowHeight="14.4" x14ac:dyDescent="0.3"/>
  <cols>
    <col min="1" max="1" width="35.44140625" customWidth="1"/>
    <col min="2" max="2" width="26.5546875" style="8" customWidth="1"/>
  </cols>
  <sheetData>
    <row r="1" spans="1:2" s="20" customFormat="1" ht="23.4" x14ac:dyDescent="0.45">
      <c r="A1" s="21" t="s">
        <v>88</v>
      </c>
      <c r="B1" s="21" t="s">
        <v>89</v>
      </c>
    </row>
    <row r="2" spans="1:2" s="2" customFormat="1" ht="18" x14ac:dyDescent="0.35">
      <c r="A2" s="22" t="s">
        <v>90</v>
      </c>
      <c r="B2" s="23">
        <f>'07_Monthly_MIS'!B5</f>
        <v>759921</v>
      </c>
    </row>
    <row r="3" spans="1:2" s="4" customFormat="1" ht="18" x14ac:dyDescent="0.35">
      <c r="A3" s="22" t="s">
        <v>91</v>
      </c>
      <c r="B3" s="24">
        <f>'07_Monthly_MIS'!C5</f>
        <v>778033</v>
      </c>
    </row>
    <row r="4" spans="1:2" s="4" customFormat="1" ht="18" x14ac:dyDescent="0.35">
      <c r="A4" s="22" t="s">
        <v>92</v>
      </c>
      <c r="B4" s="25">
        <f>'07_Monthly_MIS'!D5</f>
        <v>0.97285607099881855</v>
      </c>
    </row>
    <row r="5" spans="1:2" ht="18" x14ac:dyDescent="0.35">
      <c r="A5" s="22" t="s">
        <v>93</v>
      </c>
      <c r="B5" s="26"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00_ReadMe</vt:lpstr>
      <vt:lpstr>01_Raw_Data_Sheet</vt:lpstr>
      <vt:lpstr>02_Target_Master</vt:lpstr>
      <vt:lpstr>03_Daily_MIS</vt:lpstr>
      <vt:lpstr>04_Region_MIS</vt:lpstr>
      <vt:lpstr>05_Category_MIS</vt:lpstr>
      <vt:lpstr>07_Monthly_MIS</vt:lpstr>
      <vt:lpstr>06_Exception_Report</vt:lpstr>
      <vt:lpstr>Dashboard_KPIs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SIDDHANT DEVAL</dc:creator>
  <cp:lastModifiedBy>SIDDHANT DEVAL</cp:lastModifiedBy>
  <dcterms:created xsi:type="dcterms:W3CDTF">2025-12-26T04:44:59Z</dcterms:created>
  <dcterms:modified xsi:type="dcterms:W3CDTF">2026-01-05T10:02:19Z</dcterms:modified>
</cp:coreProperties>
</file>